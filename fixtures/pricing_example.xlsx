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lastradeprocom-my.sharepoint.com/personal/jmills_lumafintech_com/Documents/Documents/Weekly Pricing Report 2.0/"/>
    </mc:Choice>
  </mc:AlternateContent>
  <xr:revisionPtr revIDLastSave="0" documentId="8_{16ED1FEB-83E9-46C5-863B-1CE44513EEDE}" xr6:coauthVersionLast="47" xr6:coauthVersionMax="47" xr10:uidLastSave="{00000000-0000-0000-0000-000000000000}"/>
  <bookViews>
    <workbookView xWindow="-28920" yWindow="-120" windowWidth="29040" windowHeight="15720" xr2:uid="{C7D4CDE8-37C0-488D-B0A1-6E2DDBABDF79}"/>
  </bookViews>
  <sheets>
    <sheet name="Broad Based Historical Pricing" sheetId="1" r:id="rId1"/>
    <sheet name="Volatility &amp; Correlation" sheetId="2" r:id="rId2"/>
    <sheet name="Issuer Credit Quality" sheetId="3" r:id="rId3"/>
  </sheets>
  <definedNames>
    <definedName name="_xlnm._FilterDatabase" localSheetId="2" hidden="1">'Issuer Credit Quality'!$A$1:$D$20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9" i="1" l="1"/>
  <c r="L119" i="1"/>
  <c r="H116" i="2"/>
  <c r="T116" i="2" s="1"/>
  <c r="L118" i="1" l="1"/>
  <c r="H115" i="2"/>
  <c r="T115" i="2" s="1"/>
  <c r="N118" i="1"/>
  <c r="N117" i="1" l="1"/>
  <c r="L117" i="1"/>
  <c r="H114" i="2"/>
  <c r="T114" i="2" s="1"/>
  <c r="L116" i="1" l="1"/>
  <c r="N116" i="1"/>
  <c r="H113" i="2"/>
  <c r="T113" i="2" s="1"/>
  <c r="H112" i="2"/>
  <c r="T112" i="2" s="1"/>
  <c r="N115" i="1"/>
  <c r="L115" i="1"/>
  <c r="T111" i="2"/>
  <c r="H111" i="2"/>
  <c r="T110" i="2"/>
  <c r="H110" i="2"/>
  <c r="H109" i="2"/>
  <c r="T109" i="2" s="1"/>
  <c r="H108" i="2"/>
  <c r="T108" i="2" s="1"/>
  <c r="T107" i="2"/>
  <c r="H107" i="2"/>
  <c r="T106" i="2"/>
  <c r="H106" i="2"/>
  <c r="H105" i="2"/>
  <c r="T105" i="2" s="1"/>
  <c r="H104" i="2"/>
  <c r="T104" i="2" s="1"/>
  <c r="T103" i="2"/>
  <c r="H103" i="2"/>
  <c r="H102" i="2"/>
  <c r="T102" i="2" s="1"/>
  <c r="H101" i="2"/>
  <c r="T101" i="2" s="1"/>
  <c r="H100" i="2"/>
  <c r="T100" i="2" s="1"/>
  <c r="T99" i="2"/>
  <c r="H99" i="2"/>
  <c r="T98" i="2"/>
  <c r="H98" i="2"/>
  <c r="H97" i="2"/>
  <c r="T97" i="2" s="1"/>
  <c r="H96" i="2"/>
  <c r="T96" i="2" s="1"/>
  <c r="T95" i="2"/>
  <c r="H95" i="2"/>
  <c r="T94" i="2"/>
  <c r="H94" i="2"/>
  <c r="H93" i="2"/>
  <c r="T93" i="2" s="1"/>
  <c r="H92" i="2"/>
  <c r="T92" i="2" s="1"/>
  <c r="T91" i="2"/>
  <c r="H91" i="2"/>
  <c r="T90" i="2"/>
  <c r="H90" i="2"/>
  <c r="H89" i="2"/>
  <c r="T89" i="2" s="1"/>
  <c r="H88" i="2"/>
  <c r="T88" i="2" s="1"/>
  <c r="T87" i="2"/>
  <c r="H87" i="2"/>
  <c r="H86" i="2"/>
  <c r="T86" i="2" s="1"/>
  <c r="H85" i="2"/>
  <c r="T85" i="2" s="1"/>
  <c r="H84" i="2"/>
  <c r="T84" i="2" s="1"/>
  <c r="H83" i="2"/>
  <c r="T83" i="2" s="1"/>
  <c r="H82" i="2"/>
  <c r="T82" i="2" s="1"/>
  <c r="H81" i="2"/>
  <c r="T81" i="2" s="1"/>
  <c r="H80" i="2"/>
  <c r="T80" i="2" s="1"/>
  <c r="T79" i="2"/>
  <c r="H79" i="2"/>
  <c r="H78" i="2"/>
  <c r="T78" i="2" s="1"/>
  <c r="H77" i="2"/>
  <c r="T77" i="2" s="1"/>
  <c r="H76" i="2"/>
  <c r="T76" i="2" s="1"/>
  <c r="T75" i="2"/>
  <c r="H75" i="2"/>
  <c r="T74" i="2"/>
  <c r="H74" i="2"/>
  <c r="H73" i="2"/>
  <c r="T73" i="2" s="1"/>
  <c r="H72" i="2"/>
  <c r="T72" i="2" s="1"/>
  <c r="T71" i="2"/>
  <c r="H71" i="2"/>
  <c r="H70" i="2"/>
  <c r="T70" i="2" s="1"/>
  <c r="H69" i="2"/>
  <c r="T69" i="2" s="1"/>
  <c r="H68" i="2"/>
  <c r="T68" i="2" s="1"/>
  <c r="T67" i="2"/>
  <c r="H67" i="2"/>
  <c r="H66" i="2"/>
  <c r="T66" i="2" s="1"/>
  <c r="H65" i="2"/>
  <c r="T65" i="2" s="1"/>
  <c r="H64" i="2"/>
  <c r="T64" i="2" s="1"/>
  <c r="T59" i="2"/>
  <c r="H59" i="2"/>
  <c r="T58" i="2"/>
  <c r="H58" i="2"/>
  <c r="H57" i="2"/>
  <c r="H56" i="2"/>
  <c r="H55" i="2"/>
  <c r="T55" i="2" s="1"/>
  <c r="T54" i="2"/>
  <c r="H54" i="2"/>
  <c r="T53" i="2"/>
  <c r="H53" i="2"/>
  <c r="H52" i="2"/>
  <c r="T52" i="2" s="1"/>
  <c r="H51" i="2"/>
  <c r="T51" i="2" s="1"/>
  <c r="T50" i="2"/>
  <c r="H50" i="2"/>
  <c r="T49" i="2"/>
  <c r="H49" i="2"/>
  <c r="H48" i="2"/>
  <c r="T48" i="2" s="1"/>
  <c r="H47" i="2"/>
  <c r="T47" i="2" s="1"/>
  <c r="T46" i="2"/>
  <c r="H46" i="2"/>
  <c r="T44" i="2"/>
  <c r="H44" i="2"/>
  <c r="T43" i="2"/>
  <c r="H43" i="2"/>
  <c r="T42" i="2"/>
  <c r="H42" i="2"/>
  <c r="T41" i="2"/>
  <c r="H41" i="2"/>
  <c r="T40" i="2"/>
  <c r="H40" i="2"/>
  <c r="T39" i="2"/>
  <c r="H39" i="2"/>
  <c r="T38" i="2"/>
  <c r="H38" i="2"/>
  <c r="T37" i="2"/>
  <c r="H37" i="2"/>
  <c r="T36" i="2"/>
  <c r="H36" i="2"/>
  <c r="T35" i="2"/>
  <c r="H35" i="2"/>
  <c r="T34" i="2"/>
  <c r="H34" i="2"/>
  <c r="N114" i="1"/>
  <c r="L114" i="1"/>
  <c r="N113" i="1"/>
  <c r="L113" i="1"/>
  <c r="N112" i="1"/>
  <c r="L112" i="1"/>
  <c r="N111" i="1"/>
  <c r="L111" i="1"/>
  <c r="N110" i="1"/>
  <c r="L110" i="1"/>
  <c r="N109" i="1"/>
  <c r="L109" i="1"/>
  <c r="N108" i="1"/>
  <c r="L108" i="1"/>
  <c r="N107" i="1"/>
  <c r="L107" i="1"/>
  <c r="N106" i="1"/>
  <c r="L106" i="1"/>
  <c r="N105" i="1"/>
  <c r="L105" i="1"/>
  <c r="N104" i="1"/>
  <c r="L104" i="1"/>
  <c r="N103" i="1"/>
  <c r="L103" i="1"/>
  <c r="N102" i="1"/>
  <c r="L102" i="1"/>
  <c r="N101" i="1"/>
  <c r="L101" i="1"/>
  <c r="N100" i="1"/>
  <c r="L100" i="1"/>
  <c r="N99" i="1"/>
  <c r="L99" i="1"/>
  <c r="N98" i="1"/>
  <c r="L98" i="1"/>
  <c r="N97" i="1"/>
  <c r="L97" i="1"/>
  <c r="N96" i="1"/>
  <c r="L96" i="1"/>
  <c r="N95" i="1"/>
  <c r="L95" i="1"/>
  <c r="N94" i="1"/>
  <c r="L94" i="1"/>
  <c r="N93" i="1"/>
  <c r="L93" i="1"/>
  <c r="N92" i="1"/>
  <c r="L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</calcChain>
</file>

<file path=xl/sharedStrings.xml><?xml version="1.0" encoding="utf-8"?>
<sst xmlns="http://schemas.openxmlformats.org/spreadsheetml/2006/main" count="101" uniqueCount="71">
  <si>
    <t>Date</t>
  </si>
  <si>
    <t>SPX,RTY,NDX</t>
  </si>
  <si>
    <t>SPX,RTY,INDU</t>
  </si>
  <si>
    <t>SPX,INDU,NDX</t>
  </si>
  <si>
    <t>INDU,RTY,NDX</t>
  </si>
  <si>
    <t>INDU,NDX,SX5E</t>
  </si>
  <si>
    <t>SX5E,INDU,RTY</t>
  </si>
  <si>
    <t>SX5E,SPX,INDU</t>
  </si>
  <si>
    <t>SX5E,NDX,RTY</t>
  </si>
  <si>
    <t>SX5E,SPX,NDX</t>
  </si>
  <si>
    <t>SX5E,SPX,RTY</t>
  </si>
  <si>
    <t>1 Year Treasury</t>
  </si>
  <si>
    <t>Volatility - 30-day period/Daily observation</t>
  </si>
  <si>
    <t xml:space="preserve"> Historical Correlation // Daily Observation, 1yr Timeframe</t>
  </si>
  <si>
    <t>Treasury Yields</t>
  </si>
  <si>
    <t>SPX Index</t>
  </si>
  <si>
    <t>INDU Index</t>
  </si>
  <si>
    <t>RTY Index</t>
  </si>
  <si>
    <t>NDX Index</t>
  </si>
  <si>
    <t>SX5E Index</t>
  </si>
  <si>
    <t>SPX/RTY</t>
  </si>
  <si>
    <t>SPX/NDX</t>
  </si>
  <si>
    <t>SPX/INDU</t>
  </si>
  <si>
    <t>NDX/RTY</t>
  </si>
  <si>
    <t>INDU/NDX</t>
  </si>
  <si>
    <t>INDU/RTY</t>
  </si>
  <si>
    <t>SX5E/NDX</t>
  </si>
  <si>
    <t>SX5E/SPX</t>
  </si>
  <si>
    <t>SX5E/RTY</t>
  </si>
  <si>
    <t>SX5E/INDU</t>
  </si>
  <si>
    <t>1 Year</t>
  </si>
  <si>
    <t>2 Year</t>
  </si>
  <si>
    <t>3 Year</t>
  </si>
  <si>
    <t>5 Year</t>
  </si>
  <si>
    <t>ISSUER</t>
  </si>
  <si>
    <t>5 YR CDS</t>
  </si>
  <si>
    <t>Moody's</t>
  </si>
  <si>
    <t>S&amp;P</t>
  </si>
  <si>
    <t>Credit Agricole</t>
  </si>
  <si>
    <t>TD</t>
  </si>
  <si>
    <t>JP Morgan</t>
  </si>
  <si>
    <t>CIBC</t>
  </si>
  <si>
    <t>BNP</t>
  </si>
  <si>
    <t>HSBC</t>
  </si>
  <si>
    <t>UBS</t>
  </si>
  <si>
    <t>RBC</t>
  </si>
  <si>
    <t>BBVA</t>
  </si>
  <si>
    <t>BMO</t>
  </si>
  <si>
    <t>Goldman Sachs</t>
  </si>
  <si>
    <t>Société Générale</t>
  </si>
  <si>
    <t>Morgan Stanley</t>
  </si>
  <si>
    <t>Bank of America</t>
  </si>
  <si>
    <t>Citi</t>
  </si>
  <si>
    <t>Barclays</t>
  </si>
  <si>
    <t>Note/Treasury Premium</t>
  </si>
  <si>
    <t>Natixis</t>
  </si>
  <si>
    <t>Jefferies</t>
  </si>
  <si>
    <t>Santander</t>
  </si>
  <si>
    <t>36m Tenor, 3m NC, Issuer Callable, Quarterly Coupon/Quarterly Call, 70% Coupon/70% EKI</t>
  </si>
  <si>
    <t xml:space="preserve"> A3 </t>
  </si>
  <si>
    <t xml:space="preserve"> A- </t>
  </si>
  <si>
    <t xml:space="preserve"> A1 </t>
  </si>
  <si>
    <t xml:space="preserve"> A+ </t>
  </si>
  <si>
    <t xml:space="preserve"> A2 </t>
  </si>
  <si>
    <t xml:space="preserve"> A </t>
  </si>
  <si>
    <t xml:space="preserve"> BBB+ </t>
  </si>
  <si>
    <t xml:space="preserve"> Aa2 </t>
  </si>
  <si>
    <t xml:space="preserve"> Baa1 </t>
  </si>
  <si>
    <t xml:space="preserve"> Aa1 </t>
  </si>
  <si>
    <t xml:space="preserve"> AA- </t>
  </si>
  <si>
    <t xml:space="preserve"> Baa2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</si>
</sst>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_);_(* \(#,##0.00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name val="Arial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73">
    <fill>
      <patternFill patternType="none"/>
    </fill>
    <fill>
      <patternFill patternType="gray125"/>
    </fill>
    <fill>
      <patternFill patternType="solid">
        <fgColor rgb="FF63BE7B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E3E383"/>
        <bgColor indexed="64"/>
      </patternFill>
    </fill>
    <fill>
      <patternFill patternType="solid">
        <fgColor rgb="FFE4E483"/>
        <bgColor indexed="64"/>
      </patternFill>
    </fill>
    <fill>
      <patternFill patternType="solid">
        <fgColor rgb="FFD6E082"/>
        <bgColor indexed="64"/>
      </patternFill>
    </fill>
    <fill>
      <patternFill patternType="solid">
        <fgColor rgb="FFF9EA84"/>
        <bgColor indexed="64"/>
      </patternFill>
    </fill>
    <fill>
      <patternFill patternType="solid">
        <fgColor rgb="FF6EC17B"/>
        <bgColor indexed="64"/>
      </patternFill>
    </fill>
    <fill>
      <patternFill patternType="solid">
        <fgColor rgb="FFF8E983"/>
        <bgColor indexed="64"/>
      </patternFill>
    </fill>
    <fill>
      <patternFill patternType="solid">
        <fgColor rgb="FF79C47C"/>
        <bgColor indexed="64"/>
      </patternFill>
    </fill>
    <fill>
      <patternFill patternType="solid">
        <fgColor rgb="FF7CC57C"/>
        <bgColor indexed="64"/>
      </patternFill>
    </fill>
    <fill>
      <patternFill patternType="solid">
        <fgColor rgb="FFA8D27F"/>
        <bgColor indexed="64"/>
      </patternFill>
    </fill>
    <fill>
      <patternFill patternType="solid">
        <fgColor rgb="FF93CB7D"/>
        <bgColor indexed="64"/>
      </patternFill>
    </fill>
    <fill>
      <patternFill patternType="solid">
        <fgColor rgb="FFFEC97E"/>
        <bgColor indexed="64"/>
      </patternFill>
    </fill>
    <fill>
      <patternFill patternType="solid">
        <fgColor rgb="FFFFE283"/>
        <bgColor indexed="64"/>
      </patternFill>
    </fill>
    <fill>
      <patternFill patternType="solid">
        <fgColor rgb="FFF8706C"/>
        <bgColor indexed="64"/>
      </patternFill>
    </fill>
    <fill>
      <patternFill patternType="solid">
        <fgColor rgb="FFF97C6E"/>
        <bgColor indexed="64"/>
      </patternFill>
    </fill>
    <fill>
      <patternFill patternType="solid">
        <fgColor rgb="FFF97F6F"/>
        <bgColor indexed="64"/>
      </patternFill>
    </fill>
    <fill>
      <patternFill patternType="solid">
        <fgColor rgb="FFFEE983"/>
        <bgColor indexed="64"/>
      </patternFill>
    </fill>
    <fill>
      <patternFill patternType="solid">
        <fgColor rgb="FFE6E483"/>
        <bgColor indexed="64"/>
      </patternFill>
    </fill>
    <fill>
      <patternFill patternType="solid">
        <fgColor rgb="FFF5E884"/>
        <bgColor indexed="64"/>
      </patternFill>
    </fill>
    <fill>
      <patternFill patternType="solid">
        <fgColor rgb="FFF0E784"/>
        <bgColor indexed="64"/>
      </patternFill>
    </fill>
    <fill>
      <patternFill patternType="solid">
        <fgColor rgb="FFB6D680"/>
        <bgColor indexed="64"/>
      </patternFill>
    </fill>
    <fill>
      <patternFill patternType="solid">
        <fgColor rgb="FF6BC07B"/>
        <bgColor indexed="64"/>
      </patternFill>
    </fill>
    <fill>
      <patternFill patternType="solid">
        <fgColor rgb="FFC8DB80"/>
        <bgColor indexed="64"/>
      </patternFill>
    </fill>
    <fill>
      <patternFill patternType="solid">
        <fgColor rgb="FF67BF7B"/>
        <bgColor indexed="64"/>
      </patternFill>
    </fill>
    <fill>
      <patternFill patternType="solid">
        <fgColor rgb="FF6FC17B"/>
        <bgColor indexed="64"/>
      </patternFill>
    </fill>
    <fill>
      <patternFill patternType="solid">
        <fgColor rgb="FF66BE7B"/>
        <bgColor indexed="64"/>
      </patternFill>
    </fill>
    <fill>
      <patternFill patternType="solid">
        <fgColor rgb="FFE0E282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rgb="FFFED781"/>
        <bgColor indexed="64"/>
      </patternFill>
    </fill>
    <fill>
      <patternFill patternType="solid">
        <fgColor rgb="FFF9806F"/>
        <bgColor indexed="64"/>
      </patternFill>
    </fill>
    <fill>
      <patternFill patternType="solid">
        <fgColor rgb="FFFA9072"/>
        <bgColor indexed="64"/>
      </patternFill>
    </fill>
    <fill>
      <patternFill patternType="solid">
        <fgColor rgb="FFFA9974"/>
        <bgColor indexed="64"/>
      </patternFill>
    </fill>
    <fill>
      <patternFill patternType="solid">
        <fgColor rgb="FFFA9F75"/>
        <bgColor indexed="64"/>
      </patternFill>
    </fill>
    <fill>
      <patternFill patternType="solid">
        <fgColor rgb="FF67C07C"/>
        <bgColor indexed="64"/>
      </patternFill>
    </fill>
    <fill>
      <patternFill patternType="solid">
        <fgColor rgb="FF68C07C"/>
        <bgColor indexed="64"/>
      </patternFill>
    </fill>
    <fill>
      <patternFill patternType="solid">
        <fgColor rgb="FF6BC17C"/>
        <bgColor indexed="64"/>
      </patternFill>
    </fill>
    <fill>
      <patternFill patternType="solid">
        <fgColor rgb="FF65BE7B"/>
        <bgColor indexed="64"/>
      </patternFill>
    </fill>
    <fill>
      <patternFill patternType="solid">
        <fgColor rgb="FFDFE282"/>
        <bgColor indexed="64"/>
      </patternFill>
    </fill>
    <fill>
      <patternFill patternType="solid">
        <fgColor rgb="FFFEEA83"/>
        <bgColor indexed="64"/>
      </patternFill>
    </fill>
    <fill>
      <patternFill patternType="solid">
        <fgColor rgb="FFF98871"/>
        <bgColor indexed="64"/>
      </patternFill>
    </fill>
    <fill>
      <patternFill patternType="solid">
        <fgColor rgb="FFFA9E75"/>
        <bgColor indexed="64"/>
      </patternFill>
    </fill>
    <fill>
      <patternFill patternType="solid">
        <fgColor rgb="FFFBA977"/>
        <bgColor indexed="64"/>
      </patternFill>
    </fill>
    <fill>
      <patternFill patternType="solid">
        <fgColor rgb="FFFBB279"/>
        <bgColor indexed="64"/>
      </patternFill>
    </fill>
    <fill>
      <patternFill patternType="solid">
        <fgColor rgb="FF84C87D"/>
        <bgColor indexed="64"/>
      </patternFill>
    </fill>
    <fill>
      <patternFill patternType="solid">
        <fgColor rgb="FFAFD480"/>
        <bgColor indexed="64"/>
      </patternFill>
    </fill>
    <fill>
      <patternFill patternType="solid">
        <fgColor rgb="FF85C87D"/>
        <bgColor indexed="64"/>
      </patternFill>
    </fill>
    <fill>
      <patternFill patternType="solid">
        <fgColor rgb="FF93CC7E"/>
        <bgColor indexed="64"/>
      </patternFill>
    </fill>
    <fill>
      <patternFill patternType="solid">
        <fgColor rgb="FFC9DB80"/>
        <bgColor indexed="64"/>
      </patternFill>
    </fill>
    <fill>
      <patternFill patternType="solid">
        <fgColor rgb="FFE7E482"/>
        <bgColor indexed="64"/>
      </patternFill>
    </fill>
    <fill>
      <patternFill patternType="solid">
        <fgColor rgb="FFFECE7F"/>
        <bgColor indexed="64"/>
      </patternFill>
    </fill>
    <fill>
      <patternFill patternType="solid">
        <fgColor rgb="FFE4E382"/>
        <bgColor indexed="64"/>
      </patternFill>
    </fill>
    <fill>
      <patternFill patternType="solid">
        <fgColor rgb="FFAFD47F"/>
        <bgColor indexed="64"/>
      </patternFill>
    </fill>
    <fill>
      <patternFill patternType="solid">
        <fgColor rgb="FFCDDC81"/>
        <bgColor indexed="64"/>
      </patternFill>
    </fill>
    <fill>
      <patternFill patternType="solid">
        <fgColor rgb="FFFFE884"/>
        <bgColor indexed="64"/>
      </patternFill>
    </fill>
    <fill>
      <patternFill patternType="solid">
        <fgColor rgb="FFFFEA84"/>
        <bgColor indexed="64"/>
      </patternFill>
    </fill>
    <fill>
      <patternFill patternType="solid">
        <fgColor rgb="FFFED17F"/>
        <bgColor indexed="64"/>
      </patternFill>
    </fill>
    <fill>
      <patternFill patternType="solid">
        <fgColor rgb="FFFBAE78"/>
        <bgColor indexed="64"/>
      </patternFill>
    </fill>
    <fill>
      <patternFill patternType="solid">
        <fgColor rgb="FFFCC47C"/>
        <bgColor indexed="64"/>
      </patternFill>
    </fill>
    <fill>
      <patternFill patternType="solid">
        <fgColor rgb="FFFDD780"/>
        <bgColor indexed="64"/>
      </patternFill>
    </fill>
    <fill>
      <patternFill patternType="solid">
        <fgColor rgb="FFFEE582"/>
        <bgColor indexed="64"/>
      </patternFill>
    </fill>
    <fill>
      <patternFill patternType="solid">
        <fgColor rgb="FFA6D27F"/>
        <bgColor indexed="64"/>
      </patternFill>
    </fill>
    <fill>
      <patternFill patternType="solid">
        <fgColor rgb="FFC1D981"/>
        <bgColor indexed="64"/>
      </patternFill>
    </fill>
    <fill>
      <patternFill patternType="solid">
        <fgColor rgb="FFB5D57F"/>
        <bgColor indexed="64"/>
      </patternFill>
    </fill>
    <fill>
      <patternFill patternType="solid">
        <fgColor rgb="FFE2E282"/>
        <bgColor indexed="64"/>
      </patternFill>
    </fill>
    <fill>
      <patternFill patternType="solid">
        <fgColor rgb="FFFED480"/>
        <bgColor indexed="64"/>
      </patternFill>
    </fill>
    <fill>
      <patternFill patternType="solid">
        <fgColor rgb="FFDCE182"/>
        <bgColor indexed="64"/>
      </patternFill>
    </fill>
    <fill>
      <patternFill patternType="solid">
        <fgColor rgb="FFF6E883"/>
        <bgColor indexed="64"/>
      </patternFill>
    </fill>
    <fill>
      <patternFill patternType="solid">
        <fgColor rgb="FF8FCA7D"/>
        <bgColor indexed="64"/>
      </patternFill>
    </fill>
    <fill>
      <patternFill patternType="solid">
        <fgColor rgb="FF9ACD7E"/>
        <bgColor indexed="64"/>
      </patternFill>
    </fill>
    <fill>
      <patternFill patternType="solid">
        <fgColor rgb="FFC4DA80"/>
        <bgColor indexed="64"/>
      </patternFill>
    </fill>
    <fill>
      <patternFill patternType="solid">
        <fgColor rgb="FFBED880"/>
        <bgColor indexed="64"/>
      </patternFill>
    </fill>
    <fill>
      <patternFill patternType="solid">
        <fgColor rgb="FFFBAC78"/>
        <bgColor indexed="64"/>
      </patternFill>
    </fill>
    <fill>
      <patternFill patternType="solid">
        <fgColor rgb="FFFCB87A"/>
        <bgColor indexed="64"/>
      </patternFill>
    </fill>
    <fill>
      <patternFill patternType="solid">
        <fgColor rgb="FFFCBB7A"/>
        <bgColor indexed="64"/>
      </patternFill>
    </fill>
    <fill>
      <patternFill patternType="solid">
        <fgColor rgb="FFFEE482"/>
        <bgColor indexed="64"/>
      </patternFill>
    </fill>
    <fill>
      <patternFill patternType="solid">
        <fgColor rgb="FFFCEB84"/>
        <bgColor indexed="64"/>
      </patternFill>
    </fill>
    <fill>
      <patternFill patternType="solid">
        <fgColor rgb="FFE2E383"/>
        <bgColor indexed="64"/>
      </patternFill>
    </fill>
    <fill>
      <patternFill patternType="solid">
        <fgColor rgb="FFBCD780"/>
        <bgColor indexed="64"/>
      </patternFill>
    </fill>
    <fill>
      <patternFill patternType="solid">
        <fgColor rgb="FFF1E783"/>
        <bgColor indexed="64"/>
      </patternFill>
    </fill>
    <fill>
      <patternFill patternType="solid">
        <fgColor rgb="FFFDBB7B"/>
        <bgColor indexed="64"/>
      </patternFill>
    </fill>
    <fill>
      <patternFill patternType="solid">
        <fgColor rgb="FFE6E382"/>
        <bgColor indexed="64"/>
      </patternFill>
    </fill>
    <fill>
      <patternFill patternType="solid">
        <fgColor rgb="FFFDB67A"/>
        <bgColor indexed="64"/>
      </patternFill>
    </fill>
    <fill>
      <patternFill patternType="solid">
        <fgColor rgb="FFA0CF7E"/>
        <bgColor indexed="64"/>
      </patternFill>
    </fill>
    <fill>
      <patternFill patternType="solid">
        <fgColor rgb="FFC5DA80"/>
        <bgColor indexed="64"/>
      </patternFill>
    </fill>
    <fill>
      <patternFill patternType="solid">
        <fgColor rgb="FFE8E482"/>
        <bgColor indexed="64"/>
      </patternFill>
    </fill>
    <fill>
      <patternFill patternType="solid">
        <fgColor rgb="FFEAE582"/>
        <bgColor indexed="64"/>
      </patternFill>
    </fill>
    <fill>
      <patternFill patternType="solid">
        <fgColor rgb="FFFFE483"/>
        <bgColor indexed="64"/>
      </patternFill>
    </fill>
    <fill>
      <patternFill patternType="solid">
        <fgColor rgb="FFFCBC7B"/>
        <bgColor indexed="64"/>
      </patternFill>
    </fill>
    <fill>
      <patternFill patternType="solid">
        <fgColor rgb="FFFCC07B"/>
        <bgColor indexed="64"/>
      </patternFill>
    </fill>
    <fill>
      <patternFill patternType="solid">
        <fgColor rgb="FFFCB579"/>
        <bgColor indexed="64"/>
      </patternFill>
    </fill>
    <fill>
      <patternFill patternType="solid">
        <fgColor rgb="FFA9D380"/>
        <bgColor indexed="64"/>
      </patternFill>
    </fill>
    <fill>
      <patternFill patternType="solid">
        <fgColor rgb="FFBDD881"/>
        <bgColor indexed="64"/>
      </patternFill>
    </fill>
    <fill>
      <patternFill patternType="solid">
        <fgColor rgb="FFBAD881"/>
        <bgColor indexed="64"/>
      </patternFill>
    </fill>
    <fill>
      <patternFill patternType="solid">
        <fgColor rgb="FFD1DD81"/>
        <bgColor indexed="64"/>
      </patternFill>
    </fill>
    <fill>
      <patternFill patternType="solid">
        <fgColor rgb="FFF3E783"/>
        <bgColor indexed="64"/>
      </patternFill>
    </fill>
    <fill>
      <patternFill patternType="solid">
        <fgColor rgb="FFFCA878"/>
        <bgColor indexed="64"/>
      </patternFill>
    </fill>
    <fill>
      <patternFill patternType="solid">
        <fgColor rgb="FFABD27F"/>
        <bgColor indexed="64"/>
      </patternFill>
    </fill>
    <fill>
      <patternFill patternType="solid">
        <fgColor rgb="FFFECF7F"/>
        <bgColor indexed="64"/>
      </patternFill>
    </fill>
    <fill>
      <patternFill patternType="solid">
        <fgColor rgb="FFFCEA83"/>
        <bgColor indexed="64"/>
      </patternFill>
    </fill>
    <fill>
      <patternFill patternType="solid">
        <fgColor rgb="FFFDCC7E"/>
        <bgColor indexed="64"/>
      </patternFill>
    </fill>
    <fill>
      <patternFill patternType="solid">
        <fgColor rgb="FFFDD47F"/>
        <bgColor indexed="64"/>
      </patternFill>
    </fill>
    <fill>
      <patternFill patternType="solid">
        <fgColor rgb="FFFEE182"/>
        <bgColor indexed="64"/>
      </patternFill>
    </fill>
    <fill>
      <patternFill patternType="solid">
        <fgColor rgb="FF8ACA7E"/>
        <bgColor indexed="64"/>
      </patternFill>
    </fill>
    <fill>
      <patternFill patternType="solid">
        <fgColor rgb="FF78C47D"/>
        <bgColor indexed="64"/>
      </patternFill>
    </fill>
    <fill>
      <patternFill patternType="solid">
        <fgColor rgb="FF6EC27C"/>
        <bgColor indexed="64"/>
      </patternFill>
    </fill>
    <fill>
      <patternFill patternType="solid">
        <fgColor rgb="FFF9E983"/>
        <bgColor indexed="64"/>
      </patternFill>
    </fill>
    <fill>
      <patternFill patternType="solid">
        <fgColor rgb="FFFDBF7C"/>
        <bgColor indexed="64"/>
      </patternFill>
    </fill>
    <fill>
      <patternFill patternType="solid">
        <fgColor rgb="FFFB9774"/>
        <bgColor indexed="64"/>
      </patternFill>
    </fill>
    <fill>
      <patternFill patternType="solid">
        <fgColor rgb="FF96CC7D"/>
        <bgColor indexed="64"/>
      </patternFill>
    </fill>
    <fill>
      <patternFill patternType="solid">
        <fgColor rgb="FFEFE683"/>
        <bgColor indexed="64"/>
      </patternFill>
    </fill>
    <fill>
      <patternFill patternType="solid">
        <fgColor rgb="FFFFDA81"/>
        <bgColor indexed="64"/>
      </patternFill>
    </fill>
    <fill>
      <patternFill patternType="solid">
        <fgColor rgb="FFDDE182"/>
        <bgColor indexed="64"/>
      </patternFill>
    </fill>
    <fill>
      <patternFill patternType="solid">
        <fgColor rgb="FFFED280"/>
        <bgColor indexed="64"/>
      </patternFill>
    </fill>
    <fill>
      <patternFill patternType="solid">
        <fgColor rgb="FFFEDA80"/>
        <bgColor indexed="64"/>
      </patternFill>
    </fill>
    <fill>
      <patternFill patternType="solid">
        <fgColor rgb="FFF3E884"/>
        <bgColor indexed="64"/>
      </patternFill>
    </fill>
    <fill>
      <patternFill patternType="solid">
        <fgColor rgb="FFC0D981"/>
        <bgColor indexed="64"/>
      </patternFill>
    </fill>
    <fill>
      <patternFill patternType="solid">
        <fgColor rgb="FFC2DA81"/>
        <bgColor indexed="64"/>
      </patternFill>
    </fill>
    <fill>
      <patternFill patternType="solid">
        <fgColor rgb="FFB5D680"/>
        <bgColor indexed="64"/>
      </patternFill>
    </fill>
    <fill>
      <patternFill patternType="solid">
        <fgColor rgb="FFB7D680"/>
        <bgColor indexed="64"/>
      </patternFill>
    </fill>
    <fill>
      <patternFill patternType="solid">
        <fgColor rgb="FFD7E082"/>
        <bgColor indexed="64"/>
      </patternFill>
    </fill>
    <fill>
      <patternFill patternType="solid">
        <fgColor rgb="FFDFE182"/>
        <bgColor indexed="64"/>
      </patternFill>
    </fill>
    <fill>
      <patternFill patternType="solid">
        <fgColor rgb="FFFDEA83"/>
        <bgColor indexed="64"/>
      </patternFill>
    </fill>
    <fill>
      <patternFill patternType="solid">
        <fgColor rgb="FFFED881"/>
        <bgColor indexed="64"/>
      </patternFill>
    </fill>
    <fill>
      <patternFill patternType="solid">
        <fgColor rgb="FFC0D880"/>
        <bgColor indexed="64"/>
      </patternFill>
    </fill>
    <fill>
      <patternFill patternType="solid">
        <fgColor rgb="FFFDEB84"/>
        <bgColor indexed="64"/>
      </patternFill>
    </fill>
    <fill>
      <patternFill patternType="solid">
        <fgColor rgb="FFB2D580"/>
        <bgColor indexed="64"/>
      </patternFill>
    </fill>
    <fill>
      <patternFill patternType="solid">
        <fgColor rgb="FF99CE7F"/>
        <bgColor indexed="64"/>
      </patternFill>
    </fill>
    <fill>
      <patternFill patternType="solid">
        <fgColor rgb="FFABD380"/>
        <bgColor indexed="64"/>
      </patternFill>
    </fill>
    <fill>
      <patternFill patternType="solid">
        <fgColor rgb="FFEFE784"/>
        <bgColor indexed="64"/>
      </patternFill>
    </fill>
    <fill>
      <patternFill patternType="solid">
        <fgColor rgb="FFF7E984"/>
        <bgColor indexed="64"/>
      </patternFill>
    </fill>
    <fill>
      <patternFill patternType="solid">
        <fgColor rgb="FFFEE583"/>
        <bgColor indexed="64"/>
      </patternFill>
    </fill>
    <fill>
      <patternFill patternType="solid">
        <fgColor rgb="FFFEEB84"/>
        <bgColor indexed="64"/>
      </patternFill>
    </fill>
    <fill>
      <patternFill patternType="solid">
        <fgColor rgb="FFD8E081"/>
        <bgColor indexed="64"/>
      </patternFill>
    </fill>
    <fill>
      <patternFill patternType="solid">
        <fgColor rgb="FFFDC17C"/>
        <bgColor indexed="64"/>
      </patternFill>
    </fill>
    <fill>
      <patternFill patternType="solid">
        <fgColor rgb="FFFFE984"/>
        <bgColor indexed="64"/>
      </patternFill>
    </fill>
    <fill>
      <patternFill patternType="solid">
        <fgColor rgb="FFFA8972"/>
        <bgColor indexed="64"/>
      </patternFill>
    </fill>
    <fill>
      <patternFill patternType="solid">
        <fgColor rgb="FFFFDE82"/>
        <bgColor indexed="64"/>
      </patternFill>
    </fill>
    <fill>
      <patternFill patternType="solid">
        <fgColor rgb="FFCFDD81"/>
        <bgColor indexed="64"/>
      </patternFill>
    </fill>
    <fill>
      <patternFill patternType="solid">
        <fgColor rgb="FFFFE383"/>
        <bgColor indexed="64"/>
      </patternFill>
    </fill>
    <fill>
      <patternFill patternType="solid">
        <fgColor rgb="FFFEE683"/>
        <bgColor indexed="64"/>
      </patternFill>
    </fill>
    <fill>
      <patternFill patternType="solid">
        <fgColor rgb="FFFEE783"/>
        <bgColor indexed="64"/>
      </patternFill>
    </fill>
    <fill>
      <patternFill patternType="solid">
        <fgColor rgb="FFF1E784"/>
        <bgColor indexed="64"/>
      </patternFill>
    </fill>
    <fill>
      <patternFill patternType="solid">
        <fgColor rgb="FFECE683"/>
        <bgColor indexed="64"/>
      </patternFill>
    </fill>
    <fill>
      <patternFill patternType="solid">
        <fgColor rgb="FFFED980"/>
        <bgColor indexed="64"/>
      </patternFill>
    </fill>
    <fill>
      <patternFill patternType="solid">
        <fgColor rgb="FFEDE582"/>
        <bgColor indexed="64"/>
      </patternFill>
    </fill>
    <fill>
      <patternFill patternType="solid">
        <fgColor rgb="FFFA8771"/>
        <bgColor indexed="64"/>
      </patternFill>
    </fill>
    <fill>
      <patternFill patternType="solid">
        <fgColor rgb="FFFCA978"/>
        <bgColor indexed="64"/>
      </patternFill>
    </fill>
    <fill>
      <patternFill patternType="solid">
        <fgColor rgb="FFF2E783"/>
        <bgColor indexed="64"/>
      </patternFill>
    </fill>
    <fill>
      <patternFill patternType="solid">
        <fgColor rgb="FFFB9373"/>
        <bgColor indexed="64"/>
      </patternFill>
    </fill>
    <fill>
      <patternFill patternType="solid">
        <fgColor rgb="FFE9E482"/>
        <bgColor indexed="64"/>
      </patternFill>
    </fill>
    <fill>
      <patternFill patternType="solid">
        <fgColor rgb="FFFEDC81"/>
        <bgColor indexed="64"/>
      </patternFill>
    </fill>
    <fill>
      <patternFill patternType="solid">
        <fgColor rgb="FFFDCA7D"/>
        <bgColor indexed="64"/>
      </patternFill>
    </fill>
    <fill>
      <patternFill patternType="solid">
        <fgColor rgb="FFFEE883"/>
        <bgColor indexed="64"/>
      </patternFill>
    </fill>
    <fill>
      <patternFill patternType="solid">
        <fgColor rgb="FFFED880"/>
        <bgColor indexed="64"/>
      </patternFill>
    </fill>
    <fill>
      <patternFill patternType="solid">
        <fgColor rgb="FFFCA777"/>
        <bgColor indexed="64"/>
      </patternFill>
    </fill>
    <fill>
      <patternFill patternType="solid">
        <fgColor rgb="FFFB9A75"/>
        <bgColor indexed="64"/>
      </patternFill>
    </fill>
    <fill>
      <patternFill patternType="solid">
        <fgColor rgb="FFFECA7E"/>
        <bgColor indexed="64"/>
      </patternFill>
    </fill>
    <fill>
      <patternFill patternType="solid">
        <fgColor rgb="FFFCB27A"/>
        <bgColor indexed="64"/>
      </patternFill>
    </fill>
    <fill>
      <patternFill patternType="solid">
        <fgColor rgb="FFE3E382"/>
        <bgColor indexed="64"/>
      </patternFill>
    </fill>
    <fill>
      <patternFill patternType="solid">
        <fgColor rgb="FFCBDC81"/>
        <bgColor indexed="64"/>
      </patternFill>
    </fill>
    <fill>
      <patternFill patternType="solid">
        <fgColor rgb="FFBFD981"/>
        <bgColor indexed="64"/>
      </patternFill>
    </fill>
    <fill>
      <patternFill patternType="solid">
        <fgColor rgb="FFDAE182"/>
        <bgColor indexed="64"/>
      </patternFill>
    </fill>
    <fill>
      <patternFill patternType="solid">
        <fgColor rgb="FFB7D780"/>
        <bgColor indexed="64"/>
      </patternFill>
    </fill>
    <fill>
      <patternFill patternType="solid">
        <fgColor rgb="FF91CC7E"/>
        <bgColor indexed="64"/>
      </patternFill>
    </fill>
    <fill>
      <patternFill patternType="solid">
        <fgColor rgb="FFFFDB81"/>
        <bgColor indexed="64"/>
      </patternFill>
    </fill>
    <fill>
      <patternFill patternType="solid">
        <fgColor rgb="FFFCAF79"/>
        <bgColor indexed="64"/>
      </patternFill>
    </fill>
    <fill>
      <patternFill patternType="solid">
        <fgColor rgb="FFBAD780"/>
        <bgColor indexed="64"/>
      </patternFill>
    </fill>
    <fill>
      <patternFill patternType="solid">
        <fgColor rgb="FFFB9474"/>
        <bgColor indexed="64"/>
      </patternFill>
    </fill>
    <fill>
      <patternFill patternType="solid">
        <fgColor rgb="FFFFE182"/>
        <bgColor indexed="64"/>
      </patternFill>
    </fill>
    <fill>
      <patternFill patternType="solid">
        <fgColor rgb="FFFFD981"/>
        <bgColor indexed="64"/>
      </patternFill>
    </fill>
    <fill>
      <patternFill patternType="solid">
        <fgColor rgb="FFFFE684"/>
        <bgColor indexed="64"/>
      </patternFill>
    </fill>
    <fill>
      <patternFill patternType="solid">
        <fgColor rgb="FFFEDB81"/>
        <bgColor indexed="64"/>
      </patternFill>
    </fill>
    <fill>
      <patternFill patternType="solid">
        <fgColor rgb="FFFEE382"/>
        <bgColor indexed="64"/>
      </patternFill>
    </fill>
    <fill>
      <patternFill patternType="solid">
        <fgColor rgb="FFFDCE7E"/>
        <bgColor indexed="64"/>
      </patternFill>
    </fill>
    <fill>
      <patternFill patternType="solid">
        <fgColor rgb="FFFEDD81"/>
        <bgColor indexed="64"/>
      </patternFill>
    </fill>
    <fill>
      <patternFill patternType="solid">
        <fgColor rgb="FFFBAF78"/>
        <bgColor indexed="64"/>
      </patternFill>
    </fill>
    <fill>
      <patternFill patternType="solid">
        <fgColor rgb="FFFDBC7B"/>
        <bgColor indexed="64"/>
      </patternFill>
    </fill>
    <fill>
      <patternFill patternType="solid">
        <fgColor rgb="FFEBE582"/>
        <bgColor indexed="64"/>
      </patternFill>
    </fill>
    <fill>
      <patternFill patternType="solid">
        <fgColor rgb="FFFED780"/>
        <bgColor indexed="64"/>
      </patternFill>
    </fill>
    <fill>
      <patternFill patternType="solid">
        <fgColor rgb="FFFEDF81"/>
        <bgColor indexed="64"/>
      </patternFill>
    </fill>
    <fill>
      <patternFill patternType="solid">
        <fgColor rgb="FFFEDE81"/>
        <bgColor indexed="64"/>
      </patternFill>
    </fill>
    <fill>
      <patternFill patternType="solid">
        <fgColor rgb="FFFBA877"/>
        <bgColor indexed="64"/>
      </patternFill>
    </fill>
    <fill>
      <patternFill patternType="solid">
        <fgColor rgb="FFFBB178"/>
        <bgColor indexed="64"/>
      </patternFill>
    </fill>
    <fill>
      <patternFill patternType="solid">
        <fgColor rgb="FFFA8E72"/>
        <bgColor indexed="64"/>
      </patternFill>
    </fill>
    <fill>
      <patternFill patternType="solid">
        <fgColor rgb="FFFBA376"/>
        <bgColor indexed="64"/>
      </patternFill>
    </fill>
    <fill>
      <patternFill patternType="solid">
        <fgColor rgb="FFFDC47D"/>
        <bgColor indexed="64"/>
      </patternFill>
    </fill>
    <fill>
      <patternFill patternType="solid">
        <fgColor rgb="FFFDB57A"/>
        <bgColor indexed="64"/>
      </patternFill>
    </fill>
    <fill>
      <patternFill patternType="solid">
        <fgColor rgb="FFFDC07C"/>
        <bgColor indexed="64"/>
      </patternFill>
    </fill>
    <fill>
      <patternFill patternType="solid">
        <fgColor rgb="FFFFE082"/>
        <bgColor indexed="64"/>
      </patternFill>
    </fill>
    <fill>
      <patternFill patternType="solid">
        <fgColor rgb="FFF7E883"/>
        <bgColor indexed="64"/>
      </patternFill>
    </fill>
    <fill>
      <patternFill patternType="solid">
        <fgColor rgb="FFFEE082"/>
        <bgColor indexed="64"/>
      </patternFill>
    </fill>
    <fill>
      <patternFill patternType="solid">
        <fgColor rgb="FFF9816F"/>
        <bgColor indexed="64"/>
      </patternFill>
    </fill>
    <fill>
      <patternFill patternType="solid">
        <fgColor rgb="FFFA9573"/>
        <bgColor indexed="64"/>
      </patternFill>
    </fill>
    <fill>
      <patternFill patternType="solid">
        <fgColor rgb="FFFA9C74"/>
        <bgColor indexed="64"/>
      </patternFill>
    </fill>
    <fill>
      <patternFill patternType="solid">
        <fgColor rgb="FFF8756D"/>
        <bgColor indexed="64"/>
      </patternFill>
    </fill>
    <fill>
      <patternFill patternType="solid">
        <fgColor rgb="FFF0E683"/>
        <bgColor indexed="64"/>
      </patternFill>
    </fill>
    <fill>
      <patternFill patternType="solid">
        <fgColor rgb="FFFFE583"/>
        <bgColor indexed="64"/>
      </patternFill>
    </fill>
    <fill>
      <patternFill patternType="solid">
        <fgColor rgb="FFD9E081"/>
        <bgColor indexed="64"/>
      </patternFill>
    </fill>
    <fill>
      <patternFill patternType="solid">
        <fgColor rgb="FF8ECB7E"/>
        <bgColor indexed="64"/>
      </patternFill>
    </fill>
    <fill>
      <patternFill patternType="solid">
        <fgColor rgb="FFD3DF82"/>
        <bgColor indexed="64"/>
      </patternFill>
    </fill>
    <fill>
      <patternFill patternType="solid">
        <fgColor rgb="FFF8796E"/>
        <bgColor indexed="64"/>
      </patternFill>
    </fill>
    <fill>
      <patternFill patternType="solid">
        <fgColor rgb="FFF8766D"/>
        <bgColor indexed="64"/>
      </patternFill>
    </fill>
    <fill>
      <patternFill patternType="solid">
        <fgColor rgb="FFF97E6F"/>
        <bgColor indexed="64"/>
      </patternFill>
    </fill>
    <fill>
      <patternFill patternType="solid">
        <fgColor rgb="FFFA9673"/>
        <bgColor indexed="64"/>
      </patternFill>
    </fill>
    <fill>
      <patternFill patternType="solid">
        <fgColor rgb="FFFBA676"/>
        <bgColor indexed="64"/>
      </patternFill>
    </fill>
    <fill>
      <patternFill patternType="solid">
        <fgColor rgb="FFFAE983"/>
        <bgColor indexed="64"/>
      </patternFill>
    </fill>
    <fill>
      <patternFill patternType="solid">
        <fgColor rgb="FF7FC67D"/>
        <bgColor indexed="64"/>
      </patternFill>
    </fill>
    <fill>
      <patternFill patternType="solid">
        <fgColor rgb="FFA2D17F"/>
        <bgColor indexed="64"/>
      </patternFill>
    </fill>
    <fill>
      <patternFill patternType="solid">
        <fgColor rgb="FFBCD881"/>
        <bgColor indexed="64"/>
      </patternFill>
    </fill>
    <fill>
      <patternFill patternType="solid">
        <fgColor rgb="FFCFDE82"/>
        <bgColor indexed="64"/>
      </patternFill>
    </fill>
    <fill>
      <patternFill patternType="solid">
        <fgColor rgb="FFFA9773"/>
        <bgColor indexed="64"/>
      </patternFill>
    </fill>
    <fill>
      <patternFill patternType="solid">
        <fgColor rgb="FFFDD07E"/>
        <bgColor indexed="64"/>
      </patternFill>
    </fill>
    <fill>
      <patternFill patternType="solid">
        <fgColor rgb="FFFB9F76"/>
        <bgColor indexed="64"/>
      </patternFill>
    </fill>
    <fill>
      <patternFill patternType="solid">
        <fgColor rgb="FFFCB079"/>
        <bgColor indexed="64"/>
      </patternFill>
    </fill>
    <fill>
      <patternFill patternType="solid">
        <fgColor rgb="FFF5E883"/>
        <bgColor indexed="64"/>
      </patternFill>
    </fill>
    <fill>
      <patternFill patternType="solid">
        <fgColor rgb="FFFED680"/>
        <bgColor indexed="64"/>
      </patternFill>
    </fill>
    <fill>
      <patternFill patternType="solid">
        <fgColor rgb="FFFA9172"/>
        <bgColor indexed="64"/>
      </patternFill>
    </fill>
    <fill>
      <patternFill patternType="solid">
        <fgColor rgb="FFFBAC77"/>
        <bgColor indexed="64"/>
      </patternFill>
    </fill>
    <fill>
      <patternFill patternType="solid">
        <fgColor rgb="FFFB9874"/>
        <bgColor indexed="64"/>
      </patternFill>
    </fill>
    <fill>
      <patternFill patternType="solid">
        <fgColor rgb="FFECE582"/>
        <bgColor indexed="64"/>
      </patternFill>
    </fill>
    <fill>
      <patternFill patternType="solid">
        <fgColor rgb="FFFCAE79"/>
        <bgColor indexed="64"/>
      </patternFill>
    </fill>
    <fill>
      <patternFill patternType="solid">
        <fgColor rgb="FFFFE683"/>
        <bgColor indexed="64"/>
      </patternFill>
    </fill>
    <fill>
      <patternFill patternType="solid">
        <fgColor rgb="FFF8E984"/>
        <bgColor indexed="64"/>
      </patternFill>
    </fill>
    <fill>
      <patternFill patternType="solid">
        <fgColor rgb="FFDDE283"/>
        <bgColor indexed="64"/>
      </patternFill>
    </fill>
    <fill>
      <patternFill patternType="solid">
        <fgColor rgb="FFFB9073"/>
        <bgColor indexed="64"/>
      </patternFill>
    </fill>
    <fill>
      <patternFill patternType="solid">
        <fgColor rgb="FFE5E382"/>
        <bgColor indexed="64"/>
      </patternFill>
    </fill>
    <fill>
      <patternFill patternType="solid">
        <fgColor rgb="FFFA8C72"/>
        <bgColor indexed="64"/>
      </patternFill>
    </fill>
    <fill>
      <patternFill patternType="solid">
        <fgColor rgb="FFD2DE81"/>
        <bgColor indexed="64"/>
      </patternFill>
    </fill>
    <fill>
      <patternFill patternType="solid">
        <fgColor rgb="FFF8746D"/>
        <bgColor indexed="64"/>
      </patternFill>
    </fill>
    <fill>
      <patternFill patternType="solid">
        <fgColor rgb="FFFBA776"/>
        <bgColor indexed="64"/>
      </patternFill>
    </fill>
    <fill>
      <patternFill patternType="solid">
        <fgColor rgb="FFF98670"/>
        <bgColor indexed="64"/>
      </patternFill>
    </fill>
    <fill>
      <patternFill patternType="solid">
        <fgColor rgb="FFF98A71"/>
        <bgColor indexed="64"/>
      </patternFill>
    </fill>
    <fill>
      <patternFill patternType="solid">
        <fgColor rgb="FFF9756E"/>
        <bgColor indexed="64"/>
      </patternFill>
    </fill>
    <fill>
      <patternFill patternType="solid">
        <fgColor rgb="FFFED07F"/>
        <bgColor indexed="64"/>
      </patternFill>
    </fill>
    <fill>
      <patternFill patternType="solid">
        <fgColor rgb="FFFA8D72"/>
        <bgColor indexed="64"/>
      </patternFill>
    </fill>
    <fill>
      <patternFill patternType="solid">
        <fgColor rgb="FFF9786E"/>
        <bgColor indexed="64"/>
      </patternFill>
    </fill>
    <fill>
      <patternFill patternType="solid">
        <fgColor rgb="FFFFE784"/>
        <bgColor indexed="64"/>
      </patternFill>
    </fill>
    <fill>
      <patternFill patternType="solid">
        <fgColor rgb="FFF86C6B"/>
        <bgColor indexed="64"/>
      </patternFill>
    </fill>
    <fill>
      <patternFill patternType="solid">
        <fgColor rgb="FFFA9373"/>
        <bgColor indexed="64"/>
      </patternFill>
    </fill>
    <fill>
      <patternFill patternType="solid">
        <fgColor rgb="FFF86F6C"/>
        <bgColor indexed="64"/>
      </patternFill>
    </fill>
    <fill>
      <patternFill patternType="solid">
        <fgColor rgb="FFFDBD7B"/>
        <bgColor indexed="64"/>
      </patternFill>
    </fill>
    <fill>
      <patternFill patternType="solid">
        <fgColor rgb="FFFDC27C"/>
        <bgColor indexed="64"/>
      </patternFill>
    </fill>
    <fill>
      <patternFill patternType="solid">
        <fgColor rgb="FFF8736C"/>
        <bgColor indexed="64"/>
      </patternFill>
    </fill>
    <fill>
      <patternFill patternType="solid">
        <fgColor rgb="FFF86D6B"/>
        <bgColor indexed="64"/>
      </patternFill>
    </fill>
    <fill>
      <patternFill patternType="solid">
        <fgColor rgb="FFF86A6B"/>
        <bgColor indexed="64"/>
      </patternFill>
    </fill>
    <fill>
      <patternFill patternType="solid">
        <fgColor rgb="FFFB9173"/>
        <bgColor indexed="64"/>
      </patternFill>
    </fill>
    <fill>
      <patternFill patternType="solid">
        <fgColor rgb="FFAAD27F"/>
        <bgColor indexed="64"/>
      </patternFill>
    </fill>
    <fill>
      <patternFill patternType="solid">
        <fgColor rgb="FFB6D67F"/>
        <bgColor indexed="64"/>
      </patternFill>
    </fill>
    <fill>
      <patternFill patternType="solid">
        <fgColor rgb="FFF87A6E"/>
        <bgColor indexed="64"/>
      </patternFill>
    </fill>
    <fill>
      <patternFill patternType="solid">
        <fgColor rgb="FFF8776D"/>
        <bgColor indexed="64"/>
      </patternFill>
    </fill>
    <fill>
      <patternFill patternType="solid">
        <fgColor rgb="FFFDC97D"/>
        <bgColor indexed="64"/>
      </patternFill>
    </fill>
    <fill>
      <patternFill patternType="solid">
        <fgColor rgb="FFF98570"/>
        <bgColor indexed="64"/>
      </patternFill>
    </fill>
    <fill>
      <patternFill patternType="solid">
        <fgColor rgb="FFF9736D"/>
        <bgColor indexed="64"/>
      </patternFill>
    </fill>
    <fill>
      <patternFill patternType="solid">
        <fgColor rgb="FFFA8671"/>
        <bgColor indexed="64"/>
      </patternFill>
    </fill>
    <fill>
      <patternFill patternType="solid">
        <fgColor rgb="FF97CD7E"/>
        <bgColor indexed="64"/>
      </patternFill>
    </fill>
    <fill>
      <patternFill patternType="solid">
        <fgColor rgb="FFB6D57F"/>
        <bgColor indexed="64"/>
      </patternFill>
    </fill>
    <fill>
      <patternFill patternType="solid">
        <fgColor rgb="FFFCAA78"/>
        <bgColor indexed="64"/>
      </patternFill>
    </fill>
    <fill>
      <patternFill patternType="solid">
        <fgColor rgb="FFADD37F"/>
        <bgColor indexed="64"/>
      </patternFill>
    </fill>
    <fill>
      <patternFill patternType="solid">
        <fgColor rgb="FF7BC47C"/>
        <bgColor indexed="64"/>
      </patternFill>
    </fill>
    <fill>
      <patternFill patternType="solid">
        <fgColor rgb="FF6CC07B"/>
        <bgColor indexed="64"/>
      </patternFill>
    </fill>
    <fill>
      <patternFill patternType="solid">
        <fgColor rgb="FF83C77C"/>
        <bgColor indexed="64"/>
      </patternFill>
    </fill>
    <fill>
      <patternFill patternType="solid">
        <fgColor rgb="FFA4D17F"/>
        <bgColor indexed="64"/>
      </patternFill>
    </fill>
    <fill>
      <patternFill patternType="solid">
        <fgColor rgb="FFAAD380"/>
        <bgColor indexed="64"/>
      </patternFill>
    </fill>
    <fill>
      <patternFill patternType="solid">
        <fgColor rgb="FFA7D27F"/>
        <bgColor indexed="64"/>
      </patternFill>
    </fill>
    <fill>
      <patternFill patternType="solid">
        <fgColor rgb="FF8ECA7D"/>
        <bgColor indexed="64"/>
      </patternFill>
    </fill>
    <fill>
      <patternFill patternType="solid">
        <fgColor rgb="FFFDBE7C"/>
        <bgColor indexed="64"/>
      </patternFill>
    </fill>
    <fill>
      <patternFill patternType="solid">
        <fgColor rgb="FF9FCF7E"/>
        <bgColor indexed="64"/>
      </patternFill>
    </fill>
    <fill>
      <patternFill patternType="solid">
        <fgColor rgb="FFB3D57F"/>
        <bgColor indexed="64"/>
      </patternFill>
    </fill>
    <fill>
      <patternFill patternType="solid">
        <fgColor rgb="FFD5DF81"/>
        <bgColor indexed="64"/>
      </patternFill>
    </fill>
    <fill>
      <patternFill patternType="solid">
        <fgColor rgb="FFFCB37A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37">
    <xf numFmtId="0" fontId="0" fillId="0" borderId="0" xfId="0"/>
    <xf numFmtId="10" fontId="2" fillId="0" borderId="2" xfId="1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0" fontId="0" fillId="0" borderId="5" xfId="1" applyNumberFormat="1" applyFont="1" applyBorder="1" applyAlignment="1">
      <alignment horizontal="center"/>
    </xf>
    <xf numFmtId="14" fontId="2" fillId="0" borderId="5" xfId="0" applyNumberFormat="1" applyFont="1" applyBorder="1"/>
    <xf numFmtId="10" fontId="5" fillId="2" borderId="5" xfId="0" applyNumberFormat="1" applyFont="1" applyFill="1" applyBorder="1" applyAlignment="1">
      <alignment horizontal="center" wrapText="1" readingOrder="1"/>
    </xf>
    <xf numFmtId="10" fontId="5" fillId="3" borderId="5" xfId="0" applyNumberFormat="1" applyFont="1" applyFill="1" applyBorder="1" applyAlignment="1">
      <alignment horizontal="center" wrapText="1" readingOrder="1"/>
    </xf>
    <xf numFmtId="10" fontId="5" fillId="4" borderId="5" xfId="0" applyNumberFormat="1" applyFont="1" applyFill="1" applyBorder="1" applyAlignment="1">
      <alignment horizontal="center" wrapText="1" readingOrder="1"/>
    </xf>
    <xf numFmtId="10" fontId="5" fillId="5" borderId="5" xfId="0" applyNumberFormat="1" applyFont="1" applyFill="1" applyBorder="1" applyAlignment="1">
      <alignment horizontal="center" wrapText="1" readingOrder="1"/>
    </xf>
    <xf numFmtId="10" fontId="5" fillId="6" borderId="5" xfId="0" applyNumberFormat="1" applyFont="1" applyFill="1" applyBorder="1" applyAlignment="1">
      <alignment horizontal="center" wrapText="1" readingOrder="1"/>
    </xf>
    <xf numFmtId="10" fontId="5" fillId="7" borderId="5" xfId="0" applyNumberFormat="1" applyFont="1" applyFill="1" applyBorder="1" applyAlignment="1">
      <alignment horizontal="center" wrapText="1" readingOrder="1"/>
    </xf>
    <xf numFmtId="10" fontId="5" fillId="8" borderId="5" xfId="0" applyNumberFormat="1" applyFont="1" applyFill="1" applyBorder="1" applyAlignment="1">
      <alignment horizontal="center" wrapText="1" readingOrder="1"/>
    </xf>
    <xf numFmtId="10" fontId="5" fillId="9" borderId="5" xfId="0" applyNumberFormat="1" applyFont="1" applyFill="1" applyBorder="1" applyAlignment="1">
      <alignment horizontal="center" wrapText="1" readingOrder="1"/>
    </xf>
    <xf numFmtId="10" fontId="5" fillId="10" borderId="5" xfId="0" applyNumberFormat="1" applyFont="1" applyFill="1" applyBorder="1" applyAlignment="1">
      <alignment horizontal="center" wrapText="1" readingOrder="1"/>
    </xf>
    <xf numFmtId="10" fontId="5" fillId="11" borderId="5" xfId="0" applyNumberFormat="1" applyFont="1" applyFill="1" applyBorder="1" applyAlignment="1">
      <alignment horizontal="center" wrapText="1" readingOrder="1"/>
    </xf>
    <xf numFmtId="10" fontId="5" fillId="12" borderId="5" xfId="0" applyNumberFormat="1" applyFont="1" applyFill="1" applyBorder="1" applyAlignment="1">
      <alignment horizontal="center" wrapText="1" readingOrder="1"/>
    </xf>
    <xf numFmtId="10" fontId="5" fillId="13" borderId="5" xfId="0" applyNumberFormat="1" applyFont="1" applyFill="1" applyBorder="1" applyAlignment="1">
      <alignment horizontal="center" wrapText="1" readingOrder="1"/>
    </xf>
    <xf numFmtId="10" fontId="5" fillId="14" borderId="5" xfId="0" applyNumberFormat="1" applyFont="1" applyFill="1" applyBorder="1" applyAlignment="1">
      <alignment horizontal="center" wrapText="1" readingOrder="1"/>
    </xf>
    <xf numFmtId="10" fontId="5" fillId="15" borderId="5" xfId="0" applyNumberFormat="1" applyFont="1" applyFill="1" applyBorder="1" applyAlignment="1">
      <alignment horizontal="center" wrapText="1" readingOrder="1"/>
    </xf>
    <xf numFmtId="10" fontId="5" fillId="16" borderId="5" xfId="1" applyNumberFormat="1" applyFont="1" applyFill="1" applyBorder="1" applyAlignment="1">
      <alignment horizontal="center" wrapText="1" readingOrder="1"/>
    </xf>
    <xf numFmtId="10" fontId="5" fillId="17" borderId="5" xfId="1" applyNumberFormat="1" applyFont="1" applyFill="1" applyBorder="1" applyAlignment="1">
      <alignment horizontal="center" wrapText="1" readingOrder="1"/>
    </xf>
    <xf numFmtId="10" fontId="5" fillId="18" borderId="5" xfId="1" applyNumberFormat="1" applyFont="1" applyFill="1" applyBorder="1" applyAlignment="1">
      <alignment horizontal="center" wrapText="1" readingOrder="1"/>
    </xf>
    <xf numFmtId="10" fontId="5" fillId="19" borderId="5" xfId="0" applyNumberFormat="1" applyFont="1" applyFill="1" applyBorder="1" applyAlignment="1">
      <alignment horizontal="center" wrapText="1" readingOrder="1"/>
    </xf>
    <xf numFmtId="10" fontId="5" fillId="20" borderId="5" xfId="0" applyNumberFormat="1" applyFont="1" applyFill="1" applyBorder="1" applyAlignment="1">
      <alignment horizontal="center" wrapText="1" readingOrder="1"/>
    </xf>
    <xf numFmtId="10" fontId="5" fillId="21" borderId="5" xfId="0" applyNumberFormat="1" applyFont="1" applyFill="1" applyBorder="1" applyAlignment="1">
      <alignment horizontal="center" wrapText="1" readingOrder="1"/>
    </xf>
    <xf numFmtId="10" fontId="5" fillId="22" borderId="5" xfId="0" applyNumberFormat="1" applyFont="1" applyFill="1" applyBorder="1" applyAlignment="1">
      <alignment horizontal="center" wrapText="1" readingOrder="1"/>
    </xf>
    <xf numFmtId="10" fontId="5" fillId="23" borderId="5" xfId="0" applyNumberFormat="1" applyFont="1" applyFill="1" applyBorder="1" applyAlignment="1">
      <alignment horizontal="center" wrapText="1" readingOrder="1"/>
    </xf>
    <xf numFmtId="10" fontId="5" fillId="24" borderId="5" xfId="0" applyNumberFormat="1" applyFont="1" applyFill="1" applyBorder="1" applyAlignment="1">
      <alignment horizontal="center" wrapText="1" readingOrder="1"/>
    </xf>
    <xf numFmtId="10" fontId="5" fillId="25" borderId="5" xfId="0" applyNumberFormat="1" applyFont="1" applyFill="1" applyBorder="1" applyAlignment="1">
      <alignment horizontal="center" wrapText="1" readingOrder="1"/>
    </xf>
    <xf numFmtId="10" fontId="5" fillId="26" borderId="5" xfId="0" applyNumberFormat="1" applyFont="1" applyFill="1" applyBorder="1" applyAlignment="1">
      <alignment horizontal="center" wrapText="1" readingOrder="1"/>
    </xf>
    <xf numFmtId="10" fontId="5" fillId="27" borderId="5" xfId="0" applyNumberFormat="1" applyFont="1" applyFill="1" applyBorder="1" applyAlignment="1">
      <alignment horizontal="center" wrapText="1" readingOrder="1"/>
    </xf>
    <xf numFmtId="10" fontId="5" fillId="28" borderId="5" xfId="0" applyNumberFormat="1" applyFont="1" applyFill="1" applyBorder="1" applyAlignment="1">
      <alignment horizontal="center" wrapText="1" readingOrder="1"/>
    </xf>
    <xf numFmtId="10" fontId="5" fillId="29" borderId="5" xfId="0" applyNumberFormat="1" applyFont="1" applyFill="1" applyBorder="1" applyAlignment="1">
      <alignment horizontal="center" wrapText="1" readingOrder="1"/>
    </xf>
    <xf numFmtId="10" fontId="5" fillId="30" borderId="5" xfId="0" applyNumberFormat="1" applyFont="1" applyFill="1" applyBorder="1" applyAlignment="1">
      <alignment horizontal="center" wrapText="1" readingOrder="1"/>
    </xf>
    <xf numFmtId="10" fontId="5" fillId="31" borderId="5" xfId="0" applyNumberFormat="1" applyFont="1" applyFill="1" applyBorder="1" applyAlignment="1">
      <alignment horizontal="center" wrapText="1" readingOrder="1"/>
    </xf>
    <xf numFmtId="10" fontId="5" fillId="32" borderId="5" xfId="1" applyNumberFormat="1" applyFont="1" applyFill="1" applyBorder="1" applyAlignment="1">
      <alignment horizontal="center" wrapText="1" readingOrder="1"/>
    </xf>
    <xf numFmtId="10" fontId="5" fillId="33" borderId="5" xfId="1" applyNumberFormat="1" applyFont="1" applyFill="1" applyBorder="1" applyAlignment="1">
      <alignment horizontal="center" wrapText="1" readingOrder="1"/>
    </xf>
    <xf numFmtId="10" fontId="5" fillId="34" borderId="5" xfId="1" applyNumberFormat="1" applyFont="1" applyFill="1" applyBorder="1" applyAlignment="1">
      <alignment horizontal="center" wrapText="1" readingOrder="1"/>
    </xf>
    <xf numFmtId="10" fontId="5" fillId="36" borderId="5" xfId="0" applyNumberFormat="1" applyFont="1" applyFill="1" applyBorder="1" applyAlignment="1">
      <alignment horizontal="center" wrapText="1" readingOrder="1"/>
    </xf>
    <xf numFmtId="10" fontId="5" fillId="37" borderId="5" xfId="0" applyNumberFormat="1" applyFont="1" applyFill="1" applyBorder="1" applyAlignment="1">
      <alignment horizontal="center" wrapText="1" readingOrder="1"/>
    </xf>
    <xf numFmtId="10" fontId="5" fillId="39" borderId="5" xfId="0" applyNumberFormat="1" applyFont="1" applyFill="1" applyBorder="1" applyAlignment="1">
      <alignment horizontal="center" wrapText="1" readingOrder="1"/>
    </xf>
    <xf numFmtId="10" fontId="5" fillId="40" borderId="5" xfId="0" applyNumberFormat="1" applyFont="1" applyFill="1" applyBorder="1" applyAlignment="1">
      <alignment horizontal="center" wrapText="1" readingOrder="1"/>
    </xf>
    <xf numFmtId="10" fontId="5" fillId="41" borderId="5" xfId="0" applyNumberFormat="1" applyFont="1" applyFill="1" applyBorder="1" applyAlignment="1">
      <alignment horizontal="center" wrapText="1" readingOrder="1"/>
    </xf>
    <xf numFmtId="10" fontId="5" fillId="42" borderId="5" xfId="1" applyNumberFormat="1" applyFont="1" applyFill="1" applyBorder="1" applyAlignment="1">
      <alignment horizontal="center" wrapText="1" readingOrder="1"/>
    </xf>
    <xf numFmtId="10" fontId="5" fillId="43" borderId="5" xfId="1" applyNumberFormat="1" applyFont="1" applyFill="1" applyBorder="1" applyAlignment="1">
      <alignment horizontal="center" wrapText="1" readingOrder="1"/>
    </xf>
    <xf numFmtId="10" fontId="5" fillId="44" borderId="5" xfId="1" applyNumberFormat="1" applyFont="1" applyFill="1" applyBorder="1" applyAlignment="1">
      <alignment horizontal="center" wrapText="1" readingOrder="1"/>
    </xf>
    <xf numFmtId="10" fontId="5" fillId="45" borderId="5" xfId="1" applyNumberFormat="1" applyFont="1" applyFill="1" applyBorder="1" applyAlignment="1">
      <alignment horizontal="center" wrapText="1" readingOrder="1"/>
    </xf>
    <xf numFmtId="10" fontId="5" fillId="46" borderId="5" xfId="0" applyNumberFormat="1" applyFont="1" applyFill="1" applyBorder="1" applyAlignment="1">
      <alignment horizontal="center" wrapText="1" readingOrder="1"/>
    </xf>
    <xf numFmtId="10" fontId="5" fillId="47" borderId="5" xfId="0" applyNumberFormat="1" applyFont="1" applyFill="1" applyBorder="1" applyAlignment="1">
      <alignment horizontal="center" wrapText="1" readingOrder="1"/>
    </xf>
    <xf numFmtId="10" fontId="5" fillId="48" borderId="5" xfId="0" applyNumberFormat="1" applyFont="1" applyFill="1" applyBorder="1" applyAlignment="1">
      <alignment horizontal="center" wrapText="1" readingOrder="1"/>
    </xf>
    <xf numFmtId="10" fontId="5" fillId="49" borderId="5" xfId="0" applyNumberFormat="1" applyFont="1" applyFill="1" applyBorder="1" applyAlignment="1">
      <alignment horizontal="center" wrapText="1" readingOrder="1"/>
    </xf>
    <xf numFmtId="10" fontId="5" fillId="50" borderId="5" xfId="0" applyNumberFormat="1" applyFont="1" applyFill="1" applyBorder="1" applyAlignment="1">
      <alignment horizontal="center" wrapText="1" readingOrder="1"/>
    </xf>
    <xf numFmtId="10" fontId="5" fillId="51" borderId="5" xfId="0" applyNumberFormat="1" applyFont="1" applyFill="1" applyBorder="1" applyAlignment="1">
      <alignment horizontal="center" wrapText="1" readingOrder="1"/>
    </xf>
    <xf numFmtId="10" fontId="5" fillId="52" borderId="5" xfId="0" applyNumberFormat="1" applyFont="1" applyFill="1" applyBorder="1" applyAlignment="1">
      <alignment horizontal="center" wrapText="1" readingOrder="1"/>
    </xf>
    <xf numFmtId="10" fontId="5" fillId="53" borderId="5" xfId="0" applyNumberFormat="1" applyFont="1" applyFill="1" applyBorder="1" applyAlignment="1">
      <alignment horizontal="center" wrapText="1" readingOrder="1"/>
    </xf>
    <xf numFmtId="10" fontId="5" fillId="54" borderId="5" xfId="0" applyNumberFormat="1" applyFont="1" applyFill="1" applyBorder="1" applyAlignment="1">
      <alignment horizontal="center" wrapText="1" readingOrder="1"/>
    </xf>
    <xf numFmtId="10" fontId="5" fillId="55" borderId="5" xfId="0" applyNumberFormat="1" applyFont="1" applyFill="1" applyBorder="1" applyAlignment="1">
      <alignment horizontal="center" wrapText="1" readingOrder="1"/>
    </xf>
    <xf numFmtId="10" fontId="5" fillId="56" borderId="5" xfId="0" applyNumberFormat="1" applyFont="1" applyFill="1" applyBorder="1" applyAlignment="1">
      <alignment horizontal="center" wrapText="1" readingOrder="1"/>
    </xf>
    <xf numFmtId="10" fontId="5" fillId="57" borderId="5" xfId="0" applyNumberFormat="1" applyFont="1" applyFill="1" applyBorder="1" applyAlignment="1">
      <alignment horizontal="center" wrapText="1" readingOrder="1"/>
    </xf>
    <xf numFmtId="10" fontId="5" fillId="58" borderId="5" xfId="0" applyNumberFormat="1" applyFont="1" applyFill="1" applyBorder="1" applyAlignment="1">
      <alignment horizontal="center" wrapText="1" readingOrder="1"/>
    </xf>
    <xf numFmtId="10" fontId="5" fillId="59" borderId="5" xfId="1" applyNumberFormat="1" applyFont="1" applyFill="1" applyBorder="1" applyAlignment="1">
      <alignment horizontal="center" wrapText="1" readingOrder="1"/>
    </xf>
    <xf numFmtId="10" fontId="5" fillId="60" borderId="5" xfId="1" applyNumberFormat="1" applyFont="1" applyFill="1" applyBorder="1" applyAlignment="1">
      <alignment horizontal="center" wrapText="1" readingOrder="1"/>
    </xf>
    <xf numFmtId="10" fontId="5" fillId="61" borderId="5" xfId="1" applyNumberFormat="1" applyFont="1" applyFill="1" applyBorder="1" applyAlignment="1">
      <alignment horizontal="center" wrapText="1" readingOrder="1"/>
    </xf>
    <xf numFmtId="10" fontId="5" fillId="63" borderId="5" xfId="0" applyNumberFormat="1" applyFont="1" applyFill="1" applyBorder="1" applyAlignment="1">
      <alignment horizontal="center" wrapText="1" readingOrder="1"/>
    </xf>
    <xf numFmtId="10" fontId="5" fillId="64" borderId="5" xfId="0" applyNumberFormat="1" applyFont="1" applyFill="1" applyBorder="1" applyAlignment="1">
      <alignment horizontal="center" wrapText="1" readingOrder="1"/>
    </xf>
    <xf numFmtId="10" fontId="5" fillId="65" borderId="5" xfId="0" applyNumberFormat="1" applyFont="1" applyFill="1" applyBorder="1" applyAlignment="1">
      <alignment horizontal="center" wrapText="1" readingOrder="1"/>
    </xf>
    <xf numFmtId="10" fontId="5" fillId="66" borderId="5" xfId="0" applyNumberFormat="1" applyFont="1" applyFill="1" applyBorder="1" applyAlignment="1">
      <alignment horizontal="center" wrapText="1" readingOrder="1"/>
    </xf>
    <xf numFmtId="10" fontId="5" fillId="67" borderId="5" xfId="0" applyNumberFormat="1" applyFont="1" applyFill="1" applyBorder="1" applyAlignment="1">
      <alignment horizontal="center" wrapText="1" readingOrder="1"/>
    </xf>
    <xf numFmtId="10" fontId="5" fillId="68" borderId="5" xfId="0" applyNumberFormat="1" applyFont="1" applyFill="1" applyBorder="1" applyAlignment="1">
      <alignment horizontal="center" wrapText="1" readingOrder="1"/>
    </xf>
    <xf numFmtId="10" fontId="5" fillId="69" borderId="5" xfId="0" applyNumberFormat="1" applyFont="1" applyFill="1" applyBorder="1" applyAlignment="1">
      <alignment horizontal="center" wrapText="1" readingOrder="1"/>
    </xf>
    <xf numFmtId="10" fontId="5" fillId="70" borderId="5" xfId="0" applyNumberFormat="1" applyFont="1" applyFill="1" applyBorder="1" applyAlignment="1">
      <alignment horizontal="center" wrapText="1" readingOrder="1"/>
    </xf>
    <xf numFmtId="10" fontId="5" fillId="71" borderId="5" xfId="0" applyNumberFormat="1" applyFont="1" applyFill="1" applyBorder="1" applyAlignment="1">
      <alignment horizontal="center" wrapText="1" readingOrder="1"/>
    </xf>
    <xf numFmtId="10" fontId="5" fillId="72" borderId="5" xfId="0" applyNumberFormat="1" applyFont="1" applyFill="1" applyBorder="1" applyAlignment="1">
      <alignment horizontal="center" wrapText="1" readingOrder="1"/>
    </xf>
    <xf numFmtId="10" fontId="5" fillId="73" borderId="5" xfId="0" applyNumberFormat="1" applyFont="1" applyFill="1" applyBorder="1" applyAlignment="1">
      <alignment horizontal="center" wrapText="1" readingOrder="1"/>
    </xf>
    <xf numFmtId="10" fontId="5" fillId="74" borderId="5" xfId="1" applyNumberFormat="1" applyFont="1" applyFill="1" applyBorder="1" applyAlignment="1">
      <alignment horizontal="center" wrapText="1" readingOrder="1"/>
    </xf>
    <xf numFmtId="10" fontId="5" fillId="75" borderId="5" xfId="1" applyNumberFormat="1" applyFont="1" applyFill="1" applyBorder="1" applyAlignment="1">
      <alignment horizontal="center" wrapText="1" readingOrder="1"/>
    </xf>
    <xf numFmtId="10" fontId="5" fillId="77" borderId="5" xfId="0" applyNumberFormat="1" applyFont="1" applyFill="1" applyBorder="1" applyAlignment="1">
      <alignment horizontal="center" wrapText="1" readingOrder="1"/>
    </xf>
    <xf numFmtId="10" fontId="5" fillId="78" borderId="5" xfId="0" applyNumberFormat="1" applyFont="1" applyFill="1" applyBorder="1" applyAlignment="1">
      <alignment horizontal="center" wrapText="1" readingOrder="1"/>
    </xf>
    <xf numFmtId="10" fontId="5" fillId="80" borderId="5" xfId="0" applyNumberFormat="1" applyFont="1" applyFill="1" applyBorder="1" applyAlignment="1">
      <alignment horizontal="center" wrapText="1" readingOrder="1"/>
    </xf>
    <xf numFmtId="10" fontId="5" fillId="81" borderId="5" xfId="0" applyNumberFormat="1" applyFont="1" applyFill="1" applyBorder="1" applyAlignment="1">
      <alignment horizontal="center" wrapText="1" readingOrder="1"/>
    </xf>
    <xf numFmtId="10" fontId="5" fillId="82" borderId="5" xfId="0" applyNumberFormat="1" applyFont="1" applyFill="1" applyBorder="1" applyAlignment="1">
      <alignment horizontal="center" wrapText="1" readingOrder="1"/>
    </xf>
    <xf numFmtId="10" fontId="5" fillId="83" borderId="5" xfId="0" applyNumberFormat="1" applyFont="1" applyFill="1" applyBorder="1" applyAlignment="1">
      <alignment horizontal="center" wrapText="1" readingOrder="1"/>
    </xf>
    <xf numFmtId="10" fontId="5" fillId="84" borderId="5" xfId="0" applyNumberFormat="1" applyFont="1" applyFill="1" applyBorder="1" applyAlignment="1">
      <alignment horizontal="center" wrapText="1" readingOrder="1"/>
    </xf>
    <xf numFmtId="10" fontId="5" fillId="85" borderId="5" xfId="0" applyNumberFormat="1" applyFont="1" applyFill="1" applyBorder="1" applyAlignment="1">
      <alignment horizontal="center" wrapText="1" readingOrder="1"/>
    </xf>
    <xf numFmtId="10" fontId="5" fillId="86" borderId="5" xfId="0" applyNumberFormat="1" applyFont="1" applyFill="1" applyBorder="1" applyAlignment="1">
      <alignment horizontal="center" wrapText="1" readingOrder="1"/>
    </xf>
    <xf numFmtId="10" fontId="5" fillId="87" borderId="5" xfId="0" applyNumberFormat="1" applyFont="1" applyFill="1" applyBorder="1" applyAlignment="1">
      <alignment horizontal="center" wrapText="1" readingOrder="1"/>
    </xf>
    <xf numFmtId="10" fontId="5" fillId="88" borderId="5" xfId="0" applyNumberFormat="1" applyFont="1" applyFill="1" applyBorder="1" applyAlignment="1">
      <alignment horizontal="center" wrapText="1" readingOrder="1"/>
    </xf>
    <xf numFmtId="10" fontId="5" fillId="89" borderId="5" xfId="0" applyNumberFormat="1" applyFont="1" applyFill="1" applyBorder="1" applyAlignment="1">
      <alignment horizontal="center" wrapText="1" readingOrder="1"/>
    </xf>
    <xf numFmtId="10" fontId="5" fillId="90" borderId="5" xfId="1" applyNumberFormat="1" applyFont="1" applyFill="1" applyBorder="1" applyAlignment="1">
      <alignment horizontal="center" wrapText="1" readingOrder="1"/>
    </xf>
    <xf numFmtId="10" fontId="5" fillId="91" borderId="5" xfId="1" applyNumberFormat="1" applyFont="1" applyFill="1" applyBorder="1" applyAlignment="1">
      <alignment horizontal="center" wrapText="1" readingOrder="1"/>
    </xf>
    <xf numFmtId="10" fontId="5" fillId="93" borderId="5" xfId="0" applyNumberFormat="1" applyFont="1" applyFill="1" applyBorder="1" applyAlignment="1">
      <alignment horizontal="center" wrapText="1" readingOrder="1"/>
    </xf>
    <xf numFmtId="10" fontId="5" fillId="94" borderId="5" xfId="0" applyNumberFormat="1" applyFont="1" applyFill="1" applyBorder="1" applyAlignment="1">
      <alignment horizontal="center" wrapText="1" readingOrder="1"/>
    </xf>
    <xf numFmtId="10" fontId="5" fillId="95" borderId="5" xfId="0" applyNumberFormat="1" applyFont="1" applyFill="1" applyBorder="1" applyAlignment="1">
      <alignment horizontal="center" wrapText="1" readingOrder="1"/>
    </xf>
    <xf numFmtId="10" fontId="5" fillId="96" borderId="5" xfId="0" applyNumberFormat="1" applyFont="1" applyFill="1" applyBorder="1" applyAlignment="1">
      <alignment horizontal="center" wrapText="1" readingOrder="1"/>
    </xf>
    <xf numFmtId="10" fontId="5" fillId="97" borderId="5" xfId="0" applyNumberFormat="1" applyFont="1" applyFill="1" applyBorder="1" applyAlignment="1">
      <alignment horizontal="center" wrapText="1" readingOrder="1"/>
    </xf>
    <xf numFmtId="10" fontId="5" fillId="98" borderId="5" xfId="0" applyNumberFormat="1" applyFont="1" applyFill="1" applyBorder="1" applyAlignment="1">
      <alignment horizontal="center" wrapText="1" readingOrder="1"/>
    </xf>
    <xf numFmtId="10" fontId="5" fillId="99" borderId="5" xfId="0" applyNumberFormat="1" applyFont="1" applyFill="1" applyBorder="1" applyAlignment="1">
      <alignment horizontal="center" wrapText="1" readingOrder="1"/>
    </xf>
    <xf numFmtId="10" fontId="5" fillId="100" borderId="5" xfId="0" applyNumberFormat="1" applyFont="1" applyFill="1" applyBorder="1" applyAlignment="1">
      <alignment horizontal="center" wrapText="1" readingOrder="1"/>
    </xf>
    <xf numFmtId="10" fontId="5" fillId="101" borderId="5" xfId="0" applyNumberFormat="1" applyFont="1" applyFill="1" applyBorder="1" applyAlignment="1">
      <alignment horizontal="center" wrapText="1" readingOrder="1"/>
    </xf>
    <xf numFmtId="10" fontId="5" fillId="102" borderId="5" xfId="1" applyNumberFormat="1" applyFont="1" applyFill="1" applyBorder="1" applyAlignment="1">
      <alignment horizontal="center" wrapText="1" readingOrder="1"/>
    </xf>
    <xf numFmtId="10" fontId="5" fillId="103" borderId="5" xfId="1" applyNumberFormat="1" applyFont="1" applyFill="1" applyBorder="1" applyAlignment="1">
      <alignment horizontal="center" wrapText="1" readingOrder="1"/>
    </xf>
    <xf numFmtId="10" fontId="5" fillId="104" borderId="5" xfId="1" applyNumberFormat="1" applyFont="1" applyFill="1" applyBorder="1" applyAlignment="1">
      <alignment horizontal="center" wrapText="1" readingOrder="1"/>
    </xf>
    <xf numFmtId="10" fontId="5" fillId="105" borderId="5" xfId="0" applyNumberFormat="1" applyFont="1" applyFill="1" applyBorder="1" applyAlignment="1">
      <alignment horizontal="center" wrapText="1" readingOrder="1"/>
    </xf>
    <xf numFmtId="10" fontId="5" fillId="106" borderId="5" xfId="0" applyNumberFormat="1" applyFont="1" applyFill="1" applyBorder="1" applyAlignment="1">
      <alignment horizontal="center" wrapText="1" readingOrder="1"/>
    </xf>
    <xf numFmtId="10" fontId="5" fillId="108" borderId="5" xfId="0" applyNumberFormat="1" applyFont="1" applyFill="1" applyBorder="1" applyAlignment="1">
      <alignment horizontal="center" wrapText="1" readingOrder="1"/>
    </xf>
    <xf numFmtId="10" fontId="5" fillId="109" borderId="5" xfId="0" applyNumberFormat="1" applyFont="1" applyFill="1" applyBorder="1" applyAlignment="1">
      <alignment horizontal="center" wrapText="1" readingOrder="1"/>
    </xf>
    <xf numFmtId="10" fontId="5" fillId="110" borderId="5" xfId="0" applyNumberFormat="1" applyFont="1" applyFill="1" applyBorder="1" applyAlignment="1">
      <alignment horizontal="center" wrapText="1" readingOrder="1"/>
    </xf>
    <xf numFmtId="10" fontId="5" fillId="111" borderId="5" xfId="0" applyNumberFormat="1" applyFont="1" applyFill="1" applyBorder="1" applyAlignment="1">
      <alignment horizontal="center" wrapText="1" readingOrder="1"/>
    </xf>
    <xf numFmtId="10" fontId="5" fillId="112" borderId="5" xfId="0" applyNumberFormat="1" applyFont="1" applyFill="1" applyBorder="1" applyAlignment="1">
      <alignment horizontal="center" wrapText="1" readingOrder="1"/>
    </xf>
    <xf numFmtId="10" fontId="5" fillId="113" borderId="5" xfId="0" applyNumberFormat="1" applyFont="1" applyFill="1" applyBorder="1" applyAlignment="1">
      <alignment horizontal="center" wrapText="1" readingOrder="1"/>
    </xf>
    <xf numFmtId="10" fontId="5" fillId="114" borderId="5" xfId="0" applyNumberFormat="1" applyFont="1" applyFill="1" applyBorder="1" applyAlignment="1">
      <alignment horizontal="center" wrapText="1" readingOrder="1"/>
    </xf>
    <xf numFmtId="10" fontId="5" fillId="115" borderId="5" xfId="0" applyNumberFormat="1" applyFont="1" applyFill="1" applyBorder="1" applyAlignment="1">
      <alignment horizontal="center" wrapText="1" readingOrder="1"/>
    </xf>
    <xf numFmtId="10" fontId="5" fillId="116" borderId="5" xfId="1" applyNumberFormat="1" applyFont="1" applyFill="1" applyBorder="1" applyAlignment="1">
      <alignment horizontal="center" wrapText="1" readingOrder="1"/>
    </xf>
    <xf numFmtId="10" fontId="5" fillId="117" borderId="5" xfId="1" applyNumberFormat="1" applyFont="1" applyFill="1" applyBorder="1" applyAlignment="1">
      <alignment horizontal="center" wrapText="1" readingOrder="1"/>
    </xf>
    <xf numFmtId="10" fontId="5" fillId="118" borderId="5" xfId="1" applyNumberFormat="1" applyFont="1" applyFill="1" applyBorder="1" applyAlignment="1">
      <alignment horizontal="center" wrapText="1" readingOrder="1"/>
    </xf>
    <xf numFmtId="10" fontId="5" fillId="119" borderId="5" xfId="1" applyNumberFormat="1" applyFont="1" applyFill="1" applyBorder="1" applyAlignment="1">
      <alignment horizontal="center" wrapText="1" readingOrder="1"/>
    </xf>
    <xf numFmtId="10" fontId="5" fillId="120" borderId="5" xfId="0" applyNumberFormat="1" applyFont="1" applyFill="1" applyBorder="1" applyAlignment="1">
      <alignment horizontal="center" wrapText="1" readingOrder="1"/>
    </xf>
    <xf numFmtId="10" fontId="5" fillId="121" borderId="5" xfId="0" applyNumberFormat="1" applyFont="1" applyFill="1" applyBorder="1" applyAlignment="1">
      <alignment horizontal="center" wrapText="1" readingOrder="1"/>
    </xf>
    <xf numFmtId="10" fontId="5" fillId="119" borderId="5" xfId="0" applyNumberFormat="1" applyFont="1" applyFill="1" applyBorder="1" applyAlignment="1">
      <alignment horizontal="center" wrapText="1" readingOrder="1"/>
    </xf>
    <xf numFmtId="10" fontId="5" fillId="123" borderId="5" xfId="0" applyNumberFormat="1" applyFont="1" applyFill="1" applyBorder="1" applyAlignment="1">
      <alignment horizontal="center" wrapText="1" readingOrder="1"/>
    </xf>
    <xf numFmtId="10" fontId="5" fillId="124" borderId="5" xfId="0" applyNumberFormat="1" applyFont="1" applyFill="1" applyBorder="1" applyAlignment="1">
      <alignment horizontal="center" wrapText="1" readingOrder="1"/>
    </xf>
    <xf numFmtId="10" fontId="5" fillId="125" borderId="5" xfId="0" applyNumberFormat="1" applyFont="1" applyFill="1" applyBorder="1" applyAlignment="1">
      <alignment horizontal="center" wrapText="1" readingOrder="1"/>
    </xf>
    <xf numFmtId="10" fontId="5" fillId="126" borderId="5" xfId="0" applyNumberFormat="1" applyFont="1" applyFill="1" applyBorder="1" applyAlignment="1">
      <alignment horizontal="center" wrapText="1" readingOrder="1"/>
    </xf>
    <xf numFmtId="10" fontId="5" fillId="127" borderId="5" xfId="1" applyNumberFormat="1" applyFont="1" applyFill="1" applyBorder="1" applyAlignment="1">
      <alignment horizontal="center" wrapText="1" readingOrder="1"/>
    </xf>
    <xf numFmtId="10" fontId="5" fillId="128" borderId="5" xfId="1" applyNumberFormat="1" applyFont="1" applyFill="1" applyBorder="1" applyAlignment="1">
      <alignment horizontal="center" wrapText="1" readingOrder="1"/>
    </xf>
    <xf numFmtId="10" fontId="5" fillId="129" borderId="5" xfId="1" applyNumberFormat="1" applyFont="1" applyFill="1" applyBorder="1" applyAlignment="1">
      <alignment horizontal="center" wrapText="1" readingOrder="1"/>
    </xf>
    <xf numFmtId="10" fontId="5" fillId="131" borderId="5" xfId="0" applyNumberFormat="1" applyFont="1" applyFill="1" applyBorder="1" applyAlignment="1">
      <alignment horizontal="center" wrapText="1" readingOrder="1"/>
    </xf>
    <xf numFmtId="10" fontId="5" fillId="132" borderId="5" xfId="0" applyNumberFormat="1" applyFont="1" applyFill="1" applyBorder="1" applyAlignment="1">
      <alignment horizontal="center" wrapText="1" readingOrder="1"/>
    </xf>
    <xf numFmtId="10" fontId="5" fillId="133" borderId="5" xfId="0" applyNumberFormat="1" applyFont="1" applyFill="1" applyBorder="1" applyAlignment="1">
      <alignment horizontal="center" wrapText="1" readingOrder="1"/>
    </xf>
    <xf numFmtId="10" fontId="5" fillId="134" borderId="5" xfId="0" applyNumberFormat="1" applyFont="1" applyFill="1" applyBorder="1" applyAlignment="1">
      <alignment horizontal="center" wrapText="1" readingOrder="1"/>
    </xf>
    <xf numFmtId="10" fontId="5" fillId="135" borderId="5" xfId="0" applyNumberFormat="1" applyFont="1" applyFill="1" applyBorder="1" applyAlignment="1">
      <alignment horizontal="center" wrapText="1" readingOrder="1"/>
    </xf>
    <xf numFmtId="10" fontId="5" fillId="136" borderId="5" xfId="0" applyNumberFormat="1" applyFont="1" applyFill="1" applyBorder="1" applyAlignment="1">
      <alignment horizontal="center" wrapText="1" readingOrder="1"/>
    </xf>
    <xf numFmtId="10" fontId="5" fillId="137" borderId="5" xfId="0" applyNumberFormat="1" applyFont="1" applyFill="1" applyBorder="1" applyAlignment="1">
      <alignment horizontal="center" wrapText="1" readingOrder="1"/>
    </xf>
    <xf numFmtId="10" fontId="5" fillId="138" borderId="5" xfId="0" applyNumberFormat="1" applyFont="1" applyFill="1" applyBorder="1" applyAlignment="1">
      <alignment horizontal="center" wrapText="1" readingOrder="1"/>
    </xf>
    <xf numFmtId="10" fontId="5" fillId="139" borderId="5" xfId="0" applyNumberFormat="1" applyFont="1" applyFill="1" applyBorder="1" applyAlignment="1">
      <alignment horizontal="center" wrapText="1" readingOrder="1"/>
    </xf>
    <xf numFmtId="10" fontId="5" fillId="140" borderId="5" xfId="0" applyNumberFormat="1" applyFont="1" applyFill="1" applyBorder="1" applyAlignment="1">
      <alignment horizontal="center" wrapText="1" readingOrder="1"/>
    </xf>
    <xf numFmtId="10" fontId="5" fillId="141" borderId="5" xfId="0" applyNumberFormat="1" applyFont="1" applyFill="1" applyBorder="1" applyAlignment="1">
      <alignment horizontal="center" wrapText="1" readingOrder="1"/>
    </xf>
    <xf numFmtId="10" fontId="5" fillId="142" borderId="5" xfId="1" applyNumberFormat="1" applyFont="1" applyFill="1" applyBorder="1" applyAlignment="1">
      <alignment horizontal="center" wrapText="1" readingOrder="1"/>
    </xf>
    <xf numFmtId="10" fontId="5" fillId="41" borderId="5" xfId="1" applyNumberFormat="1" applyFont="1" applyFill="1" applyBorder="1" applyAlignment="1">
      <alignment horizontal="center" wrapText="1" readingOrder="1"/>
    </xf>
    <xf numFmtId="10" fontId="5" fillId="30" borderId="5" xfId="1" applyNumberFormat="1" applyFont="1" applyFill="1" applyBorder="1" applyAlignment="1">
      <alignment horizontal="center" wrapText="1" readingOrder="1"/>
    </xf>
    <xf numFmtId="10" fontId="5" fillId="144" borderId="5" xfId="0" applyNumberFormat="1" applyFont="1" applyFill="1" applyBorder="1" applyAlignment="1">
      <alignment horizontal="center" wrapText="1" readingOrder="1"/>
    </xf>
    <xf numFmtId="10" fontId="5" fillId="145" borderId="5" xfId="0" applyNumberFormat="1" applyFont="1" applyFill="1" applyBorder="1" applyAlignment="1">
      <alignment horizontal="center" wrapText="1" readingOrder="1"/>
    </xf>
    <xf numFmtId="10" fontId="5" fillId="146" borderId="5" xfId="0" applyNumberFormat="1" applyFont="1" applyFill="1" applyBorder="1" applyAlignment="1">
      <alignment horizontal="center" wrapText="1" readingOrder="1"/>
    </xf>
    <xf numFmtId="10" fontId="5" fillId="147" borderId="5" xfId="0" applyNumberFormat="1" applyFont="1" applyFill="1" applyBorder="1" applyAlignment="1">
      <alignment horizontal="center" wrapText="1" readingOrder="1"/>
    </xf>
    <xf numFmtId="10" fontId="5" fillId="148" borderId="5" xfId="0" applyNumberFormat="1" applyFont="1" applyFill="1" applyBorder="1" applyAlignment="1">
      <alignment horizontal="center" wrapText="1" readingOrder="1"/>
    </xf>
    <xf numFmtId="10" fontId="5" fillId="149" borderId="5" xfId="0" applyNumberFormat="1" applyFont="1" applyFill="1" applyBorder="1" applyAlignment="1">
      <alignment horizontal="center" wrapText="1" readingOrder="1"/>
    </xf>
    <xf numFmtId="10" fontId="5" fillId="150" borderId="5" xfId="0" applyNumberFormat="1" applyFont="1" applyFill="1" applyBorder="1" applyAlignment="1">
      <alignment horizontal="center" wrapText="1" readingOrder="1"/>
    </xf>
    <xf numFmtId="10" fontId="5" fillId="151" borderId="5" xfId="0" applyNumberFormat="1" applyFont="1" applyFill="1" applyBorder="1" applyAlignment="1">
      <alignment horizontal="center" wrapText="1" readingOrder="1"/>
    </xf>
    <xf numFmtId="10" fontId="5" fillId="152" borderId="5" xfId="0" applyNumberFormat="1" applyFont="1" applyFill="1" applyBorder="1" applyAlignment="1">
      <alignment horizontal="center" wrapText="1" readingOrder="1"/>
    </xf>
    <xf numFmtId="10" fontId="5" fillId="153" borderId="5" xfId="0" applyNumberFormat="1" applyFont="1" applyFill="1" applyBorder="1" applyAlignment="1">
      <alignment horizontal="center" wrapText="1" readingOrder="1"/>
    </xf>
    <xf numFmtId="10" fontId="5" fillId="154" borderId="5" xfId="0" applyNumberFormat="1" applyFont="1" applyFill="1" applyBorder="1" applyAlignment="1">
      <alignment horizontal="center" wrapText="1" readingOrder="1"/>
    </xf>
    <xf numFmtId="10" fontId="5" fillId="155" borderId="5" xfId="0" applyNumberFormat="1" applyFont="1" applyFill="1" applyBorder="1" applyAlignment="1">
      <alignment horizontal="center" wrapText="1" readingOrder="1"/>
    </xf>
    <xf numFmtId="10" fontId="5" fillId="157" borderId="5" xfId="0" applyNumberFormat="1" applyFont="1" applyFill="1" applyBorder="1" applyAlignment="1">
      <alignment horizontal="center" wrapText="1" readingOrder="1"/>
    </xf>
    <xf numFmtId="10" fontId="5" fillId="158" borderId="5" xfId="0" applyNumberFormat="1" applyFont="1" applyFill="1" applyBorder="1" applyAlignment="1">
      <alignment horizontal="center" wrapText="1" readingOrder="1"/>
    </xf>
    <xf numFmtId="10" fontId="5" fillId="159" borderId="5" xfId="0" applyNumberFormat="1" applyFont="1" applyFill="1" applyBorder="1" applyAlignment="1">
      <alignment horizontal="center" wrapText="1" readingOrder="1"/>
    </xf>
    <xf numFmtId="10" fontId="5" fillId="160" borderId="5" xfId="0" applyNumberFormat="1" applyFont="1" applyFill="1" applyBorder="1" applyAlignment="1">
      <alignment horizontal="center" wrapText="1" readingOrder="1"/>
    </xf>
    <xf numFmtId="10" fontId="5" fillId="161" borderId="5" xfId="0" applyNumberFormat="1" applyFont="1" applyFill="1" applyBorder="1" applyAlignment="1">
      <alignment horizontal="center" wrapText="1" readingOrder="1"/>
    </xf>
    <xf numFmtId="10" fontId="5" fillId="23" borderId="5" xfId="1" applyNumberFormat="1" applyFont="1" applyFill="1" applyBorder="1" applyAlignment="1">
      <alignment horizontal="center" wrapText="1" readingOrder="1"/>
    </xf>
    <xf numFmtId="10" fontId="5" fillId="94" borderId="5" xfId="1" applyNumberFormat="1" applyFont="1" applyFill="1" applyBorder="1" applyAlignment="1">
      <alignment horizontal="center" wrapText="1" readingOrder="1"/>
    </xf>
    <xf numFmtId="10" fontId="5" fillId="163" borderId="5" xfId="0" applyNumberFormat="1" applyFont="1" applyFill="1" applyBorder="1" applyAlignment="1">
      <alignment horizontal="center" wrapText="1" readingOrder="1"/>
    </xf>
    <xf numFmtId="10" fontId="5" fillId="164" borderId="5" xfId="0" applyNumberFormat="1" applyFont="1" applyFill="1" applyBorder="1" applyAlignment="1">
      <alignment horizontal="center" wrapText="1" readingOrder="1"/>
    </xf>
    <xf numFmtId="10" fontId="5" fillId="165" borderId="5" xfId="0" applyNumberFormat="1" applyFont="1" applyFill="1" applyBorder="1" applyAlignment="1">
      <alignment horizontal="center" wrapText="1" readingOrder="1"/>
    </xf>
    <xf numFmtId="10" fontId="5" fillId="167" borderId="5" xfId="0" applyNumberFormat="1" applyFont="1" applyFill="1" applyBorder="1" applyAlignment="1">
      <alignment horizontal="center" wrapText="1" readingOrder="1"/>
    </xf>
    <xf numFmtId="10" fontId="5" fillId="168" borderId="5" xfId="0" applyNumberFormat="1" applyFont="1" applyFill="1" applyBorder="1" applyAlignment="1">
      <alignment horizontal="center" wrapText="1" readingOrder="1"/>
    </xf>
    <xf numFmtId="10" fontId="5" fillId="169" borderId="5" xfId="0" applyNumberFormat="1" applyFont="1" applyFill="1" applyBorder="1" applyAlignment="1">
      <alignment horizontal="center" wrapText="1" readingOrder="1"/>
    </xf>
    <xf numFmtId="10" fontId="5" fillId="170" borderId="5" xfId="0" applyNumberFormat="1" applyFont="1" applyFill="1" applyBorder="1" applyAlignment="1">
      <alignment horizontal="center" wrapText="1" readingOrder="1"/>
    </xf>
    <xf numFmtId="10" fontId="5" fillId="171" borderId="5" xfId="0" applyNumberFormat="1" applyFont="1" applyFill="1" applyBorder="1" applyAlignment="1">
      <alignment horizontal="center" wrapText="1" readingOrder="1"/>
    </xf>
    <xf numFmtId="10" fontId="5" fillId="172" borderId="5" xfId="0" applyNumberFormat="1" applyFont="1" applyFill="1" applyBorder="1" applyAlignment="1">
      <alignment horizontal="center" wrapText="1" readingOrder="1"/>
    </xf>
    <xf numFmtId="10" fontId="5" fillId="173" borderId="5" xfId="0" applyNumberFormat="1" applyFont="1" applyFill="1" applyBorder="1" applyAlignment="1">
      <alignment horizontal="center" wrapText="1" readingOrder="1"/>
    </xf>
    <xf numFmtId="10" fontId="5" fillId="174" borderId="5" xfId="1" applyNumberFormat="1" applyFont="1" applyFill="1" applyBorder="1" applyAlignment="1">
      <alignment horizontal="center" wrapText="1" readingOrder="1"/>
    </xf>
    <xf numFmtId="10" fontId="5" fillId="153" borderId="5" xfId="1" applyNumberFormat="1" applyFont="1" applyFill="1" applyBorder="1" applyAlignment="1">
      <alignment horizontal="center" wrapText="1" readingOrder="1"/>
    </xf>
    <xf numFmtId="10" fontId="5" fillId="175" borderId="5" xfId="1" applyNumberFormat="1" applyFont="1" applyFill="1" applyBorder="1" applyAlignment="1">
      <alignment horizontal="center" wrapText="1" readingOrder="1"/>
    </xf>
    <xf numFmtId="10" fontId="5" fillId="61" borderId="5" xfId="0" applyNumberFormat="1" applyFont="1" applyFill="1" applyBorder="1" applyAlignment="1">
      <alignment horizontal="center" wrapText="1" readingOrder="1"/>
    </xf>
    <xf numFmtId="10" fontId="5" fillId="176" borderId="5" xfId="0" applyNumberFormat="1" applyFont="1" applyFill="1" applyBorder="1" applyAlignment="1">
      <alignment horizontal="center" wrapText="1" readingOrder="1"/>
    </xf>
    <xf numFmtId="10" fontId="5" fillId="177" borderId="5" xfId="0" applyNumberFormat="1" applyFont="1" applyFill="1" applyBorder="1" applyAlignment="1">
      <alignment horizontal="center" wrapText="1" readingOrder="1"/>
    </xf>
    <xf numFmtId="10" fontId="5" fillId="179" borderId="5" xfId="0" applyNumberFormat="1" applyFont="1" applyFill="1" applyBorder="1" applyAlignment="1">
      <alignment horizontal="center" wrapText="1" readingOrder="1"/>
    </xf>
    <xf numFmtId="10" fontId="5" fillId="180" borderId="5" xfId="0" applyNumberFormat="1" applyFont="1" applyFill="1" applyBorder="1" applyAlignment="1">
      <alignment horizontal="center" wrapText="1" readingOrder="1"/>
    </xf>
    <xf numFmtId="10" fontId="5" fillId="181" borderId="5" xfId="0" applyNumberFormat="1" applyFont="1" applyFill="1" applyBorder="1" applyAlignment="1">
      <alignment horizontal="center" wrapText="1" readingOrder="1"/>
    </xf>
    <xf numFmtId="10" fontId="5" fillId="155" borderId="5" xfId="1" applyNumberFormat="1" applyFont="1" applyFill="1" applyBorder="1" applyAlignment="1">
      <alignment horizontal="center" wrapText="1" readingOrder="1"/>
    </xf>
    <xf numFmtId="10" fontId="5" fillId="182" borderId="5" xfId="1" applyNumberFormat="1" applyFont="1" applyFill="1" applyBorder="1" applyAlignment="1">
      <alignment horizontal="center" wrapText="1" readingOrder="1"/>
    </xf>
    <xf numFmtId="10" fontId="5" fillId="183" borderId="5" xfId="1" applyNumberFormat="1" applyFont="1" applyFill="1" applyBorder="1" applyAlignment="1">
      <alignment horizontal="center" wrapText="1" readingOrder="1"/>
    </xf>
    <xf numFmtId="10" fontId="5" fillId="184" borderId="5" xfId="0" applyNumberFormat="1" applyFont="1" applyFill="1" applyBorder="1" applyAlignment="1">
      <alignment horizontal="center" wrapText="1" readingOrder="1"/>
    </xf>
    <xf numFmtId="10" fontId="5" fillId="90" borderId="5" xfId="0" applyNumberFormat="1" applyFont="1" applyFill="1" applyBorder="1" applyAlignment="1">
      <alignment horizontal="center" wrapText="1" readingOrder="1"/>
    </xf>
    <xf numFmtId="10" fontId="5" fillId="185" borderId="5" xfId="0" applyNumberFormat="1" applyFont="1" applyFill="1" applyBorder="1" applyAlignment="1">
      <alignment horizontal="center" wrapText="1" readingOrder="1"/>
    </xf>
    <xf numFmtId="10" fontId="5" fillId="186" borderId="5" xfId="0" applyNumberFormat="1" applyFont="1" applyFill="1" applyBorder="1" applyAlignment="1">
      <alignment horizontal="center" wrapText="1" readingOrder="1"/>
    </xf>
    <xf numFmtId="10" fontId="5" fillId="188" borderId="5" xfId="0" applyNumberFormat="1" applyFont="1" applyFill="1" applyBorder="1" applyAlignment="1">
      <alignment horizontal="center" wrapText="1" readingOrder="1"/>
    </xf>
    <xf numFmtId="10" fontId="5" fillId="189" borderId="5" xfId="0" applyNumberFormat="1" applyFont="1" applyFill="1" applyBorder="1" applyAlignment="1">
      <alignment horizontal="center" wrapText="1" readingOrder="1"/>
    </xf>
    <xf numFmtId="10" fontId="5" fillId="190" borderId="5" xfId="0" applyNumberFormat="1" applyFont="1" applyFill="1" applyBorder="1" applyAlignment="1">
      <alignment horizontal="center" wrapText="1" readingOrder="1"/>
    </xf>
    <xf numFmtId="10" fontId="5" fillId="191" borderId="5" xfId="0" applyNumberFormat="1" applyFont="1" applyFill="1" applyBorder="1" applyAlignment="1">
      <alignment horizontal="center" wrapText="1" readingOrder="1"/>
    </xf>
    <xf numFmtId="10" fontId="5" fillId="192" borderId="5" xfId="0" applyNumberFormat="1" applyFont="1" applyFill="1" applyBorder="1" applyAlignment="1">
      <alignment horizontal="center" wrapText="1" readingOrder="1"/>
    </xf>
    <xf numFmtId="10" fontId="5" fillId="21" borderId="5" xfId="1" applyNumberFormat="1" applyFont="1" applyFill="1" applyBorder="1" applyAlignment="1">
      <alignment horizontal="center" wrapText="1" readingOrder="1"/>
    </xf>
    <xf numFmtId="10" fontId="5" fillId="193" borderId="5" xfId="1" applyNumberFormat="1" applyFont="1" applyFill="1" applyBorder="1" applyAlignment="1">
      <alignment horizontal="center" wrapText="1" readingOrder="1"/>
    </xf>
    <xf numFmtId="10" fontId="5" fillId="17" borderId="5" xfId="0" applyNumberFormat="1" applyFont="1" applyFill="1" applyBorder="1" applyAlignment="1">
      <alignment horizontal="center" wrapText="1" readingOrder="1"/>
    </xf>
    <xf numFmtId="10" fontId="5" fillId="194" borderId="5" xfId="0" applyNumberFormat="1" applyFont="1" applyFill="1" applyBorder="1" applyAlignment="1">
      <alignment horizontal="center" wrapText="1" readingOrder="1"/>
    </xf>
    <xf numFmtId="10" fontId="5" fillId="195" borderId="5" xfId="0" applyNumberFormat="1" applyFont="1" applyFill="1" applyBorder="1" applyAlignment="1">
      <alignment horizontal="center" wrapText="1" readingOrder="1"/>
    </xf>
    <xf numFmtId="10" fontId="5" fillId="196" borderId="5" xfId="0" applyNumberFormat="1" applyFont="1" applyFill="1" applyBorder="1" applyAlignment="1">
      <alignment horizontal="center" wrapText="1" readingOrder="1"/>
    </xf>
    <xf numFmtId="10" fontId="5" fillId="198" borderId="5" xfId="0" applyNumberFormat="1" applyFont="1" applyFill="1" applyBorder="1" applyAlignment="1">
      <alignment horizontal="center" wrapText="1" readingOrder="1"/>
    </xf>
    <xf numFmtId="10" fontId="5" fillId="199" borderId="5" xfId="0" applyNumberFormat="1" applyFont="1" applyFill="1" applyBorder="1" applyAlignment="1">
      <alignment horizontal="center" wrapText="1" readingOrder="1"/>
    </xf>
    <xf numFmtId="10" fontId="5" fillId="201" borderId="5" xfId="1" applyNumberFormat="1" applyFont="1" applyFill="1" applyBorder="1" applyAlignment="1">
      <alignment horizontal="center" wrapText="1" readingOrder="1"/>
    </xf>
    <xf numFmtId="10" fontId="5" fillId="93" borderId="5" xfId="1" applyNumberFormat="1" applyFont="1" applyFill="1" applyBorder="1" applyAlignment="1">
      <alignment horizontal="center" wrapText="1" readingOrder="1"/>
    </xf>
    <xf numFmtId="10" fontId="5" fillId="203" borderId="5" xfId="0" applyNumberFormat="1" applyFont="1" applyFill="1" applyBorder="1" applyAlignment="1">
      <alignment horizontal="center" wrapText="1" readingOrder="1"/>
    </xf>
    <xf numFmtId="10" fontId="5" fillId="204" borderId="5" xfId="0" applyNumberFormat="1" applyFont="1" applyFill="1" applyBorder="1" applyAlignment="1">
      <alignment horizontal="center" wrapText="1" readingOrder="1"/>
    </xf>
    <xf numFmtId="10" fontId="5" fillId="205" borderId="5" xfId="0" applyNumberFormat="1" applyFont="1" applyFill="1" applyBorder="1" applyAlignment="1">
      <alignment horizontal="center" wrapText="1" readingOrder="1"/>
    </xf>
    <xf numFmtId="10" fontId="5" fillId="206" borderId="5" xfId="0" applyNumberFormat="1" applyFont="1" applyFill="1" applyBorder="1" applyAlignment="1">
      <alignment horizontal="center" wrapText="1" readingOrder="1"/>
    </xf>
    <xf numFmtId="10" fontId="5" fillId="208" borderId="5" xfId="0" applyNumberFormat="1" applyFont="1" applyFill="1" applyBorder="1" applyAlignment="1">
      <alignment horizontal="center" wrapText="1" readingOrder="1"/>
    </xf>
    <xf numFmtId="10" fontId="5" fillId="209" borderId="5" xfId="1" applyNumberFormat="1" applyFont="1" applyFill="1" applyBorder="1" applyAlignment="1">
      <alignment horizontal="center" wrapText="1" readingOrder="1"/>
    </xf>
    <xf numFmtId="10" fontId="5" fillId="210" borderId="5" xfId="1" applyNumberFormat="1" applyFont="1" applyFill="1" applyBorder="1" applyAlignment="1">
      <alignment horizontal="center" wrapText="1" readingOrder="1"/>
    </xf>
    <xf numFmtId="10" fontId="5" fillId="211" borderId="5" xfId="1" applyNumberFormat="1" applyFont="1" applyFill="1" applyBorder="1" applyAlignment="1">
      <alignment horizontal="center" wrapText="1" readingOrder="1"/>
    </xf>
    <xf numFmtId="10" fontId="5" fillId="213" borderId="5" xfId="0" applyNumberFormat="1" applyFont="1" applyFill="1" applyBorder="1" applyAlignment="1">
      <alignment horizontal="center" wrapText="1" readingOrder="1"/>
    </xf>
    <xf numFmtId="10" fontId="5" fillId="33" borderId="5" xfId="0" applyNumberFormat="1" applyFont="1" applyFill="1" applyBorder="1" applyAlignment="1">
      <alignment horizontal="center" wrapText="1" readingOrder="1"/>
    </xf>
    <xf numFmtId="10" fontId="5" fillId="45" borderId="5" xfId="0" applyNumberFormat="1" applyFont="1" applyFill="1" applyBorder="1" applyAlignment="1">
      <alignment horizontal="center" wrapText="1" readingOrder="1"/>
    </xf>
    <xf numFmtId="10" fontId="5" fillId="215" borderId="5" xfId="0" applyNumberFormat="1" applyFont="1" applyFill="1" applyBorder="1" applyAlignment="1">
      <alignment horizontal="center" wrapText="1" readingOrder="1"/>
    </xf>
    <xf numFmtId="10" fontId="5" fillId="216" borderId="5" xfId="0" applyNumberFormat="1" applyFont="1" applyFill="1" applyBorder="1" applyAlignment="1">
      <alignment horizontal="center" wrapText="1" readingOrder="1"/>
    </xf>
    <xf numFmtId="10" fontId="5" fillId="217" borderId="5" xfId="0" applyNumberFormat="1" applyFont="1" applyFill="1" applyBorder="1" applyAlignment="1">
      <alignment horizontal="center" wrapText="1" readingOrder="1"/>
    </xf>
    <xf numFmtId="10" fontId="5" fillId="218" borderId="5" xfId="0" applyNumberFormat="1" applyFont="1" applyFill="1" applyBorder="1" applyAlignment="1">
      <alignment horizontal="center" wrapText="1" readingOrder="1"/>
    </xf>
    <xf numFmtId="10" fontId="5" fillId="32" borderId="5" xfId="0" applyNumberFormat="1" applyFont="1" applyFill="1" applyBorder="1" applyAlignment="1">
      <alignment horizontal="center" wrapText="1" readingOrder="1"/>
    </xf>
    <xf numFmtId="10" fontId="5" fillId="219" borderId="5" xfId="0" applyNumberFormat="1" applyFont="1" applyFill="1" applyBorder="1" applyAlignment="1">
      <alignment horizontal="center" wrapText="1" readingOrder="1"/>
    </xf>
    <xf numFmtId="10" fontId="5" fillId="221" borderId="5" xfId="0" applyNumberFormat="1" applyFont="1" applyFill="1" applyBorder="1" applyAlignment="1">
      <alignment horizontal="center" wrapText="1" readingOrder="1"/>
    </xf>
    <xf numFmtId="10" fontId="5" fillId="222" borderId="5" xfId="0" applyNumberFormat="1" applyFont="1" applyFill="1" applyBorder="1" applyAlignment="1">
      <alignment horizontal="center" wrapText="1" readingOrder="1"/>
    </xf>
    <xf numFmtId="10" fontId="5" fillId="223" borderId="5" xfId="0" applyNumberFormat="1" applyFont="1" applyFill="1" applyBorder="1" applyAlignment="1">
      <alignment horizontal="center" wrapText="1" readingOrder="1"/>
    </xf>
    <xf numFmtId="10" fontId="5" fillId="224" borderId="5" xfId="0" applyNumberFormat="1" applyFont="1" applyFill="1" applyBorder="1" applyAlignment="1">
      <alignment horizontal="center" wrapText="1" readingOrder="1"/>
    </xf>
    <xf numFmtId="10" fontId="5" fillId="225" borderId="5" xfId="0" applyNumberFormat="1" applyFont="1" applyFill="1" applyBorder="1" applyAlignment="1">
      <alignment horizontal="center" wrapText="1" readingOrder="1"/>
    </xf>
    <xf numFmtId="10" fontId="5" fillId="227" borderId="5" xfId="0" applyNumberFormat="1" applyFont="1" applyFill="1" applyBorder="1" applyAlignment="1">
      <alignment horizontal="center" wrapText="1" readingOrder="1"/>
    </xf>
    <xf numFmtId="10" fontId="5" fillId="228" borderId="5" xfId="0" applyNumberFormat="1" applyFont="1" applyFill="1" applyBorder="1" applyAlignment="1">
      <alignment horizontal="center" wrapText="1" readingOrder="1"/>
    </xf>
    <xf numFmtId="10" fontId="5" fillId="229" borderId="5" xfId="0" applyNumberFormat="1" applyFont="1" applyFill="1" applyBorder="1" applyAlignment="1">
      <alignment horizontal="center" wrapText="1" readingOrder="1"/>
    </xf>
    <xf numFmtId="10" fontId="5" fillId="231" borderId="5" xfId="0" applyNumberFormat="1" applyFont="1" applyFill="1" applyBorder="1" applyAlignment="1">
      <alignment horizontal="center" wrapText="1" readingOrder="1"/>
    </xf>
    <xf numFmtId="10" fontId="5" fillId="232" borderId="5" xfId="0" applyNumberFormat="1" applyFont="1" applyFill="1" applyBorder="1" applyAlignment="1">
      <alignment horizontal="center" wrapText="1" readingOrder="1"/>
    </xf>
    <xf numFmtId="10" fontId="5" fillId="233" borderId="5" xfId="0" applyNumberFormat="1" applyFont="1" applyFill="1" applyBorder="1" applyAlignment="1">
      <alignment horizontal="center" wrapText="1" readingOrder="1"/>
    </xf>
    <xf numFmtId="10" fontId="5" fillId="235" borderId="5" xfId="0" applyNumberFormat="1" applyFont="1" applyFill="1" applyBorder="1" applyAlignment="1">
      <alignment horizontal="center" wrapText="1" readingOrder="1"/>
    </xf>
    <xf numFmtId="10" fontId="5" fillId="236" borderId="5" xfId="0" applyNumberFormat="1" applyFont="1" applyFill="1" applyBorder="1" applyAlignment="1">
      <alignment horizontal="center" wrapText="1" readingOrder="1"/>
    </xf>
    <xf numFmtId="10" fontId="5" fillId="237" borderId="5" xfId="0" applyNumberFormat="1" applyFont="1" applyFill="1" applyBorder="1" applyAlignment="1">
      <alignment horizontal="center" wrapText="1" readingOrder="1"/>
    </xf>
    <xf numFmtId="10" fontId="5" fillId="238" borderId="5" xfId="0" applyNumberFormat="1" applyFont="1" applyFill="1" applyBorder="1" applyAlignment="1">
      <alignment horizontal="center" wrapText="1" readingOrder="1"/>
    </xf>
    <xf numFmtId="10" fontId="5" fillId="239" borderId="5" xfId="0" applyNumberFormat="1" applyFont="1" applyFill="1" applyBorder="1" applyAlignment="1">
      <alignment horizontal="center" wrapText="1" readingOrder="1"/>
    </xf>
    <xf numFmtId="10" fontId="5" fillId="240" borderId="5" xfId="0" applyNumberFormat="1" applyFont="1" applyFill="1" applyBorder="1" applyAlignment="1">
      <alignment horizontal="center" wrapText="1" readingOrder="1"/>
    </xf>
    <xf numFmtId="10" fontId="5" fillId="241" borderId="5" xfId="0" applyNumberFormat="1" applyFont="1" applyFill="1" applyBorder="1" applyAlignment="1">
      <alignment horizontal="center" wrapText="1" readingOrder="1"/>
    </xf>
    <xf numFmtId="10" fontId="5" fillId="243" borderId="5" xfId="0" applyNumberFormat="1" applyFont="1" applyFill="1" applyBorder="1" applyAlignment="1">
      <alignment horizontal="center" wrapText="1" readingOrder="1"/>
    </xf>
    <xf numFmtId="10" fontId="5" fillId="244" borderId="5" xfId="0" applyNumberFormat="1" applyFont="1" applyFill="1" applyBorder="1" applyAlignment="1">
      <alignment horizontal="center" wrapText="1" readingOrder="1"/>
    </xf>
    <xf numFmtId="10" fontId="5" fillId="245" borderId="5" xfId="0" applyNumberFormat="1" applyFont="1" applyFill="1" applyBorder="1" applyAlignment="1">
      <alignment horizontal="center" wrapText="1" readingOrder="1"/>
    </xf>
    <xf numFmtId="10" fontId="5" fillId="246" borderId="5" xfId="0" applyNumberFormat="1" applyFont="1" applyFill="1" applyBorder="1" applyAlignment="1">
      <alignment horizontal="center" wrapText="1" readingOrder="1"/>
    </xf>
    <xf numFmtId="10" fontId="5" fillId="248" borderId="5" xfId="0" applyNumberFormat="1" applyFont="1" applyFill="1" applyBorder="1" applyAlignment="1">
      <alignment horizontal="center" wrapText="1" readingOrder="1"/>
    </xf>
    <xf numFmtId="10" fontId="5" fillId="249" borderId="5" xfId="0" applyNumberFormat="1" applyFont="1" applyFill="1" applyBorder="1" applyAlignment="1">
      <alignment horizontal="center" wrapText="1" readingOrder="1"/>
    </xf>
    <xf numFmtId="10" fontId="5" fillId="250" borderId="5" xfId="0" applyNumberFormat="1" applyFont="1" applyFill="1" applyBorder="1" applyAlignment="1">
      <alignment horizontal="center" wrapText="1" readingOrder="1"/>
    </xf>
    <xf numFmtId="10" fontId="5" fillId="251" borderId="5" xfId="0" applyNumberFormat="1" applyFont="1" applyFill="1" applyBorder="1" applyAlignment="1">
      <alignment horizontal="center" wrapText="1" readingOrder="1"/>
    </xf>
    <xf numFmtId="10" fontId="5" fillId="252" borderId="5" xfId="0" applyNumberFormat="1" applyFont="1" applyFill="1" applyBorder="1" applyAlignment="1">
      <alignment horizontal="center" wrapText="1" readingOrder="1"/>
    </xf>
    <xf numFmtId="10" fontId="5" fillId="253" borderId="5" xfId="0" applyNumberFormat="1" applyFont="1" applyFill="1" applyBorder="1" applyAlignment="1">
      <alignment horizontal="center" wrapText="1" readingOrder="1"/>
    </xf>
    <xf numFmtId="10" fontId="5" fillId="254" borderId="5" xfId="0" applyNumberFormat="1" applyFont="1" applyFill="1" applyBorder="1" applyAlignment="1">
      <alignment horizontal="center" wrapText="1" readingOrder="1"/>
    </xf>
    <xf numFmtId="10" fontId="5" fillId="255" borderId="5" xfId="0" applyNumberFormat="1" applyFont="1" applyFill="1" applyBorder="1" applyAlignment="1">
      <alignment horizontal="center" wrapText="1" readingOrder="1"/>
    </xf>
    <xf numFmtId="10" fontId="5" fillId="256" borderId="5" xfId="0" applyNumberFormat="1" applyFont="1" applyFill="1" applyBorder="1" applyAlignment="1">
      <alignment horizontal="center" wrapText="1" readingOrder="1"/>
    </xf>
    <xf numFmtId="10" fontId="5" fillId="257" borderId="5" xfId="0" applyNumberFormat="1" applyFont="1" applyFill="1" applyBorder="1" applyAlignment="1">
      <alignment horizontal="center" wrapText="1" readingOrder="1"/>
    </xf>
    <xf numFmtId="10" fontId="5" fillId="258" borderId="5" xfId="0" applyNumberFormat="1" applyFont="1" applyFill="1" applyBorder="1" applyAlignment="1">
      <alignment horizontal="center" wrapText="1" readingOrder="1"/>
    </xf>
    <xf numFmtId="10" fontId="5" fillId="259" borderId="5" xfId="0" applyNumberFormat="1" applyFont="1" applyFill="1" applyBorder="1" applyAlignment="1">
      <alignment horizontal="center" wrapText="1" readingOrder="1"/>
    </xf>
    <xf numFmtId="10" fontId="5" fillId="260" borderId="5" xfId="0" applyNumberFormat="1" applyFont="1" applyFill="1" applyBorder="1" applyAlignment="1">
      <alignment horizontal="center" wrapText="1" readingOrder="1"/>
    </xf>
    <xf numFmtId="10" fontId="5" fillId="261" borderId="5" xfId="0" applyNumberFormat="1" applyFont="1" applyFill="1" applyBorder="1" applyAlignment="1">
      <alignment horizontal="center" wrapText="1" readingOrder="1"/>
    </xf>
    <xf numFmtId="10" fontId="5" fillId="262" borderId="5" xfId="0" applyNumberFormat="1" applyFont="1" applyFill="1" applyBorder="1" applyAlignment="1">
      <alignment horizontal="center" wrapText="1" readingOrder="1"/>
    </xf>
    <xf numFmtId="10" fontId="5" fillId="264" borderId="5" xfId="1" applyNumberFormat="1" applyFont="1" applyFill="1" applyBorder="1" applyAlignment="1">
      <alignment horizontal="center" wrapText="1" readingOrder="1"/>
    </xf>
    <xf numFmtId="10" fontId="5" fillId="265" borderId="5" xfId="1" applyNumberFormat="1" applyFont="1" applyFill="1" applyBorder="1" applyAlignment="1">
      <alignment horizontal="center" wrapText="1" readingOrder="1"/>
    </xf>
    <xf numFmtId="10" fontId="0" fillId="0" borderId="5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4" xfId="0" applyNumberFormat="1" applyFont="1" applyBorder="1"/>
    <xf numFmtId="10" fontId="0" fillId="0" borderId="6" xfId="1" applyNumberFormat="1" applyFon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4" fontId="2" fillId="0" borderId="7" xfId="0" applyNumberFormat="1" applyFont="1" applyBorder="1"/>
    <xf numFmtId="10" fontId="0" fillId="0" borderId="7" xfId="1" applyNumberFormat="1" applyFont="1" applyBorder="1" applyAlignment="1">
      <alignment horizontal="center"/>
    </xf>
    <xf numFmtId="0" fontId="4" fillId="0" borderId="5" xfId="0" applyFont="1" applyBorder="1" applyAlignment="1">
      <alignment horizontal="center" wrapText="1" readingOrder="1"/>
    </xf>
    <xf numFmtId="14" fontId="4" fillId="0" borderId="5" xfId="0" applyNumberFormat="1" applyFont="1" applyBorder="1" applyAlignment="1">
      <alignment horizontal="right" wrapText="1" readingOrder="1"/>
    </xf>
    <xf numFmtId="10" fontId="5" fillId="35" borderId="5" xfId="1" applyNumberFormat="1" applyFont="1" applyFill="1" applyBorder="1" applyAlignment="1">
      <alignment horizontal="center" wrapText="1" readingOrder="1"/>
    </xf>
    <xf numFmtId="10" fontId="5" fillId="62" borderId="5" xfId="1" applyNumberFormat="1" applyFont="1" applyFill="1" applyBorder="1" applyAlignment="1">
      <alignment horizontal="center" wrapText="1" readingOrder="1"/>
    </xf>
    <xf numFmtId="10" fontId="5" fillId="76" borderId="5" xfId="1" applyNumberFormat="1" applyFont="1" applyFill="1" applyBorder="1" applyAlignment="1">
      <alignment horizontal="center" wrapText="1" readingOrder="1"/>
    </xf>
    <xf numFmtId="10" fontId="5" fillId="92" borderId="5" xfId="1" applyNumberFormat="1" applyFont="1" applyFill="1" applyBorder="1" applyAlignment="1">
      <alignment horizontal="center" wrapText="1" readingOrder="1"/>
    </xf>
    <xf numFmtId="10" fontId="5" fillId="130" borderId="5" xfId="1" applyNumberFormat="1" applyFont="1" applyFill="1" applyBorder="1" applyAlignment="1">
      <alignment horizontal="center" wrapText="1" readingOrder="1"/>
    </xf>
    <xf numFmtId="10" fontId="5" fillId="143" borderId="5" xfId="1" applyNumberFormat="1" applyFont="1" applyFill="1" applyBorder="1" applyAlignment="1">
      <alignment horizontal="center" wrapText="1" readingOrder="1"/>
    </xf>
    <xf numFmtId="10" fontId="5" fillId="162" borderId="5" xfId="1" applyNumberFormat="1" applyFont="1" applyFill="1" applyBorder="1" applyAlignment="1">
      <alignment horizontal="center" wrapText="1" readingOrder="1"/>
    </xf>
    <xf numFmtId="10" fontId="5" fillId="177" borderId="5" xfId="1" applyNumberFormat="1" applyFont="1" applyFill="1" applyBorder="1" applyAlignment="1">
      <alignment horizontal="center" wrapText="1" readingOrder="1"/>
    </xf>
    <xf numFmtId="10" fontId="5" fillId="202" borderId="5" xfId="1" applyNumberFormat="1" applyFont="1" applyFill="1" applyBorder="1" applyAlignment="1">
      <alignment horizontal="center" wrapText="1" readingOrder="1"/>
    </xf>
    <xf numFmtId="10" fontId="5" fillId="212" borderId="5" xfId="1" applyNumberFormat="1" applyFont="1" applyFill="1" applyBorder="1" applyAlignment="1">
      <alignment horizontal="center" wrapText="1" readingOrder="1"/>
    </xf>
    <xf numFmtId="10" fontId="5" fillId="266" borderId="5" xfId="1" applyNumberFormat="1" applyFont="1" applyFill="1" applyBorder="1" applyAlignment="1">
      <alignment horizontal="center" wrapText="1" readingOrder="1"/>
    </xf>
    <xf numFmtId="10" fontId="5" fillId="200" borderId="5" xfId="0" applyNumberFormat="1" applyFont="1" applyFill="1" applyBorder="1" applyAlignment="1">
      <alignment horizontal="center" wrapText="1" readingOrder="1"/>
    </xf>
    <xf numFmtId="10" fontId="5" fillId="230" borderId="5" xfId="0" applyNumberFormat="1" applyFont="1" applyFill="1" applyBorder="1" applyAlignment="1">
      <alignment horizontal="center" wrapText="1" readingOrder="1"/>
    </xf>
    <xf numFmtId="10" fontId="5" fillId="263" borderId="5" xfId="0" applyNumberFormat="1" applyFont="1" applyFill="1" applyBorder="1" applyAlignment="1">
      <alignment horizontal="center" wrapText="1" readingOrder="1"/>
    </xf>
    <xf numFmtId="10" fontId="5" fillId="38" borderId="5" xfId="0" applyNumberFormat="1" applyFont="1" applyFill="1" applyBorder="1" applyAlignment="1">
      <alignment horizontal="center" wrapText="1" readingOrder="1"/>
    </xf>
    <xf numFmtId="10" fontId="5" fillId="79" borderId="5" xfId="0" applyNumberFormat="1" applyFont="1" applyFill="1" applyBorder="1" applyAlignment="1">
      <alignment horizontal="center" wrapText="1" readingOrder="1"/>
    </xf>
    <xf numFmtId="10" fontId="5" fillId="107" borderId="5" xfId="0" applyNumberFormat="1" applyFont="1" applyFill="1" applyBorder="1" applyAlignment="1">
      <alignment horizontal="center" wrapText="1" readingOrder="1"/>
    </xf>
    <xf numFmtId="10" fontId="5" fillId="122" borderId="5" xfId="0" applyNumberFormat="1" applyFont="1" applyFill="1" applyBorder="1" applyAlignment="1">
      <alignment horizontal="center" wrapText="1" readingOrder="1"/>
    </xf>
    <xf numFmtId="10" fontId="5" fillId="156" borderId="5" xfId="0" applyNumberFormat="1" applyFont="1" applyFill="1" applyBorder="1" applyAlignment="1">
      <alignment horizontal="center" wrapText="1" readingOrder="1"/>
    </xf>
    <xf numFmtId="10" fontId="5" fillId="166" borderId="5" xfId="0" applyNumberFormat="1" applyFont="1" applyFill="1" applyBorder="1" applyAlignment="1">
      <alignment horizontal="center" wrapText="1" readingOrder="1"/>
    </xf>
    <xf numFmtId="10" fontId="5" fillId="178" borderId="5" xfId="0" applyNumberFormat="1" applyFont="1" applyFill="1" applyBorder="1" applyAlignment="1">
      <alignment horizontal="center" wrapText="1" readingOrder="1"/>
    </xf>
    <xf numFmtId="10" fontId="5" fillId="187" borderId="5" xfId="0" applyNumberFormat="1" applyFont="1" applyFill="1" applyBorder="1" applyAlignment="1">
      <alignment horizontal="center" wrapText="1" readingOrder="1"/>
    </xf>
    <xf numFmtId="10" fontId="5" fillId="197" borderId="5" xfId="0" applyNumberFormat="1" applyFont="1" applyFill="1" applyBorder="1" applyAlignment="1">
      <alignment horizontal="center" wrapText="1" readingOrder="1"/>
    </xf>
    <xf numFmtId="10" fontId="5" fillId="207" borderId="5" xfId="0" applyNumberFormat="1" applyFont="1" applyFill="1" applyBorder="1" applyAlignment="1">
      <alignment horizontal="center" wrapText="1" readingOrder="1"/>
    </xf>
    <xf numFmtId="10" fontId="5" fillId="214" borderId="5" xfId="0" applyNumberFormat="1" applyFont="1" applyFill="1" applyBorder="1" applyAlignment="1">
      <alignment horizontal="center" wrapText="1" readingOrder="1"/>
    </xf>
    <xf numFmtId="10" fontId="5" fillId="220" borderId="5" xfId="0" applyNumberFormat="1" applyFont="1" applyFill="1" applyBorder="1" applyAlignment="1">
      <alignment horizontal="center" wrapText="1" readingOrder="1"/>
    </xf>
    <xf numFmtId="10" fontId="5" fillId="226" borderId="5" xfId="0" applyNumberFormat="1" applyFont="1" applyFill="1" applyBorder="1" applyAlignment="1">
      <alignment horizontal="center" wrapText="1" readingOrder="1"/>
    </xf>
    <xf numFmtId="10" fontId="5" fillId="234" borderId="5" xfId="0" applyNumberFormat="1" applyFont="1" applyFill="1" applyBorder="1" applyAlignment="1">
      <alignment horizontal="center" wrapText="1" readingOrder="1"/>
    </xf>
    <xf numFmtId="10" fontId="5" fillId="242" borderId="5" xfId="0" applyNumberFormat="1" applyFont="1" applyFill="1" applyBorder="1" applyAlignment="1">
      <alignment horizontal="center" wrapText="1" readingOrder="1"/>
    </xf>
    <xf numFmtId="10" fontId="5" fillId="247" borderId="5" xfId="0" applyNumberFormat="1" applyFont="1" applyFill="1" applyBorder="1" applyAlignment="1">
      <alignment horizontal="center" wrapText="1" readingOrder="1"/>
    </xf>
    <xf numFmtId="14" fontId="2" fillId="0" borderId="9" xfId="0" applyNumberFormat="1" applyFont="1" applyBorder="1"/>
    <xf numFmtId="10" fontId="0" fillId="0" borderId="10" xfId="0" applyNumberFormat="1" applyBorder="1" applyAlignment="1">
      <alignment horizontal="center"/>
    </xf>
    <xf numFmtId="14" fontId="2" fillId="0" borderId="10" xfId="0" applyNumberFormat="1" applyFont="1" applyBorder="1"/>
    <xf numFmtId="10" fontId="0" fillId="0" borderId="10" xfId="1" applyNumberFormat="1" applyFont="1" applyBorder="1" applyAlignment="1">
      <alignment horizontal="center"/>
    </xf>
    <xf numFmtId="2" fontId="0" fillId="0" borderId="0" xfId="0" applyNumberFormat="1"/>
    <xf numFmtId="10" fontId="0" fillId="0" borderId="0" xfId="0" applyNumberFormat="1"/>
    <xf numFmtId="0" fontId="3" fillId="0" borderId="8" xfId="0" applyFont="1" applyBorder="1"/>
    <xf numFmtId="0" fontId="4" fillId="0" borderId="23" xfId="0" applyFont="1" applyBorder="1" applyAlignment="1">
      <alignment horizontal="center" readingOrder="1"/>
    </xf>
    <xf numFmtId="0" fontId="4" fillId="0" borderId="24" xfId="0" applyFont="1" applyBorder="1" applyAlignment="1">
      <alignment horizontal="center" readingOrder="1"/>
    </xf>
    <xf numFmtId="0" fontId="4" fillId="0" borderId="25" xfId="0" applyFont="1" applyBorder="1" applyAlignment="1">
      <alignment horizontal="center" readingOrder="1"/>
    </xf>
    <xf numFmtId="0" fontId="4" fillId="0" borderId="23" xfId="0" applyFont="1" applyBorder="1" applyAlignment="1">
      <alignment horizontal="left" readingOrder="1"/>
    </xf>
    <xf numFmtId="43" fontId="6" fillId="0" borderId="14" xfId="2" applyFont="1" applyBorder="1" applyAlignment="1">
      <alignment horizontal="left" wrapText="1" readingOrder="1"/>
    </xf>
    <xf numFmtId="43" fontId="6" fillId="0" borderId="15" xfId="2" applyFont="1" applyBorder="1" applyAlignment="1">
      <alignment horizontal="center" wrapText="1" readingOrder="1"/>
    </xf>
    <xf numFmtId="43" fontId="6" fillId="0" borderId="16" xfId="2" applyFont="1" applyBorder="1" applyAlignment="1">
      <alignment horizontal="center" wrapText="1" readingOrder="1"/>
    </xf>
    <xf numFmtId="43" fontId="7" fillId="0" borderId="17" xfId="2" applyFont="1" applyBorder="1" applyAlignment="1">
      <alignment horizontal="left" wrapText="1" readingOrder="1"/>
    </xf>
    <xf numFmtId="43" fontId="7" fillId="2" borderId="18" xfId="2" applyFont="1" applyFill="1" applyBorder="1" applyAlignment="1">
      <alignment horizontal="right" wrapText="1" readingOrder="1"/>
    </xf>
    <xf numFmtId="43" fontId="7" fillId="0" borderId="18" xfId="2" applyFont="1" applyBorder="1" applyAlignment="1">
      <alignment horizontal="left" wrapText="1" readingOrder="1"/>
    </xf>
    <xf numFmtId="43" fontId="7" fillId="0" borderId="19" xfId="2" applyFont="1" applyBorder="1" applyAlignment="1">
      <alignment horizontal="left" wrapText="1" readingOrder="1"/>
    </xf>
    <xf numFmtId="43" fontId="7" fillId="96" borderId="18" xfId="2" applyFont="1" applyFill="1" applyBorder="1" applyAlignment="1">
      <alignment horizontal="right" wrapText="1" readingOrder="1"/>
    </xf>
    <xf numFmtId="43" fontId="7" fillId="230" borderId="18" xfId="2" applyFont="1" applyFill="1" applyBorder="1" applyAlignment="1">
      <alignment horizontal="right" wrapText="1" readingOrder="1"/>
    </xf>
    <xf numFmtId="43" fontId="7" fillId="270" borderId="18" xfId="2" applyFont="1" applyFill="1" applyBorder="1" applyAlignment="1">
      <alignment horizontal="right" wrapText="1" readingOrder="1"/>
    </xf>
    <xf numFmtId="43" fontId="7" fillId="267" borderId="18" xfId="2" applyFont="1" applyFill="1" applyBorder="1" applyAlignment="1">
      <alignment horizontal="right" wrapText="1" readingOrder="1"/>
    </xf>
    <xf numFmtId="43" fontId="7" fillId="269" borderId="18" xfId="2" applyFont="1" applyFill="1" applyBorder="1" applyAlignment="1">
      <alignment horizontal="right" wrapText="1" readingOrder="1"/>
    </xf>
    <xf numFmtId="43" fontId="7" fillId="271" borderId="18" xfId="2" applyFont="1" applyFill="1" applyBorder="1" applyAlignment="1">
      <alignment horizontal="right" wrapText="1" readingOrder="1"/>
    </xf>
    <xf numFmtId="43" fontId="7" fillId="199" borderId="18" xfId="2" applyFont="1" applyFill="1" applyBorder="1" applyAlignment="1">
      <alignment horizontal="right" wrapText="1" readingOrder="1"/>
    </xf>
    <xf numFmtId="43" fontId="7" fillId="30" borderId="18" xfId="2" applyFont="1" applyFill="1" applyBorder="1" applyAlignment="1">
      <alignment horizontal="right" wrapText="1" readingOrder="1"/>
    </xf>
    <xf numFmtId="43" fontId="7" fillId="223" borderId="18" xfId="2" applyFont="1" applyFill="1" applyBorder="1" applyAlignment="1">
      <alignment horizontal="right" wrapText="1" readingOrder="1"/>
    </xf>
    <xf numFmtId="43" fontId="7" fillId="272" borderId="18" xfId="2" applyFont="1" applyFill="1" applyBorder="1" applyAlignment="1">
      <alignment horizontal="right" wrapText="1" readingOrder="1"/>
    </xf>
    <xf numFmtId="43" fontId="7" fillId="168" borderId="18" xfId="2" applyFont="1" applyFill="1" applyBorder="1" applyAlignment="1">
      <alignment horizontal="right" wrapText="1" readingOrder="1"/>
    </xf>
    <xf numFmtId="43" fontId="7" fillId="221" borderId="18" xfId="2" applyFont="1" applyFill="1" applyBorder="1" applyAlignment="1">
      <alignment horizontal="right" wrapText="1" readingOrder="1"/>
    </xf>
    <xf numFmtId="43" fontId="7" fillId="124" borderId="18" xfId="2" applyFont="1" applyFill="1" applyBorder="1" applyAlignment="1">
      <alignment horizontal="right" wrapText="1" readingOrder="1"/>
    </xf>
    <xf numFmtId="43" fontId="7" fillId="3" borderId="18" xfId="2" applyFont="1" applyFill="1" applyBorder="1" applyAlignment="1">
      <alignment horizontal="right" wrapText="1" readingOrder="1"/>
    </xf>
    <xf numFmtId="43" fontId="7" fillId="268" borderId="18" xfId="2" applyFont="1" applyFill="1" applyBorder="1" applyAlignment="1">
      <alignment horizontal="right" wrapText="1" readingOrder="1"/>
    </xf>
    <xf numFmtId="43" fontId="7" fillId="0" borderId="20" xfId="2" applyFont="1" applyBorder="1" applyAlignment="1">
      <alignment horizontal="left" wrapText="1" readingOrder="1"/>
    </xf>
    <xf numFmtId="43" fontId="7" fillId="30" borderId="21" xfId="2" applyFont="1" applyFill="1" applyBorder="1" applyAlignment="1">
      <alignment horizontal="right" wrapText="1" readingOrder="1"/>
    </xf>
    <xf numFmtId="43" fontId="7" fillId="0" borderId="21" xfId="2" applyFont="1" applyBorder="1" applyAlignment="1">
      <alignment horizontal="left" wrapText="1" readingOrder="1"/>
    </xf>
    <xf numFmtId="43" fontId="7" fillId="0" borderId="22" xfId="2" applyFont="1" applyBorder="1" applyAlignment="1">
      <alignment horizontal="left" wrapText="1" readingOrder="1"/>
    </xf>
    <xf numFmtId="164" fontId="0" fillId="0" borderId="0" xfId="0" applyNumberFormat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85226394860298E-2"/>
          <c:y val="0.11614009782261898"/>
          <c:w val="0.90802178591307248"/>
          <c:h val="0.63380827251976857"/>
        </c:manualLayout>
      </c:layou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36"/>
              <c:layout>
                <c:manualLayout>
                  <c:x val="-2.8876079797698538E-2"/>
                  <c:y val="-0.107820128857788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36-40D2-8385-DA47C846D8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'Broad Based Historical Pricing'!$A$12:$A$119</c:f>
              <c:numCache>
                <c:formatCode>m/d/yyyy</c:formatCode>
                <c:ptCount val="37"/>
                <c:pt idx="0">
                  <c:v>45782</c:v>
                </c:pt>
                <c:pt idx="1">
                  <c:v>45789</c:v>
                </c:pt>
                <c:pt idx="2">
                  <c:v>45796</c:v>
                </c:pt>
                <c:pt idx="3">
                  <c:v>45804</c:v>
                </c:pt>
                <c:pt idx="4">
                  <c:v>45810</c:v>
                </c:pt>
                <c:pt idx="5">
                  <c:v>45817</c:v>
                </c:pt>
                <c:pt idx="6">
                  <c:v>45824</c:v>
                </c:pt>
                <c:pt idx="7">
                  <c:v>45831</c:v>
                </c:pt>
                <c:pt idx="8">
                  <c:v>45838</c:v>
                </c:pt>
                <c:pt idx="9">
                  <c:v>45845</c:v>
                </c:pt>
                <c:pt idx="10">
                  <c:v>45852</c:v>
                </c:pt>
                <c:pt idx="11">
                  <c:v>45859</c:v>
                </c:pt>
                <c:pt idx="12">
                  <c:v>45866</c:v>
                </c:pt>
                <c:pt idx="13">
                  <c:v>45873</c:v>
                </c:pt>
                <c:pt idx="14">
                  <c:v>45880</c:v>
                </c:pt>
                <c:pt idx="15">
                  <c:v>45887</c:v>
                </c:pt>
                <c:pt idx="16">
                  <c:v>45894</c:v>
                </c:pt>
                <c:pt idx="17">
                  <c:v>45902</c:v>
                </c:pt>
                <c:pt idx="18">
                  <c:v>45908</c:v>
                </c:pt>
                <c:pt idx="19">
                  <c:v>45915</c:v>
                </c:pt>
                <c:pt idx="20">
                  <c:v>45922</c:v>
                </c:pt>
                <c:pt idx="21">
                  <c:v>45927</c:v>
                </c:pt>
                <c:pt idx="22">
                  <c:v>45936</c:v>
                </c:pt>
                <c:pt idx="23">
                  <c:v>45943</c:v>
                </c:pt>
                <c:pt idx="24">
                  <c:v>45950</c:v>
                </c:pt>
                <c:pt idx="25">
                  <c:v>45957</c:v>
                </c:pt>
                <c:pt idx="26">
                  <c:v>45964</c:v>
                </c:pt>
                <c:pt idx="27">
                  <c:v>45971</c:v>
                </c:pt>
                <c:pt idx="28">
                  <c:v>45978</c:v>
                </c:pt>
                <c:pt idx="29">
                  <c:v>45985</c:v>
                </c:pt>
                <c:pt idx="30">
                  <c:v>45992</c:v>
                </c:pt>
                <c:pt idx="31">
                  <c:v>45999</c:v>
                </c:pt>
                <c:pt idx="32">
                  <c:v>46006</c:v>
                </c:pt>
                <c:pt idx="33">
                  <c:v>46013</c:v>
                </c:pt>
                <c:pt idx="34">
                  <c:v>46020</c:v>
                </c:pt>
                <c:pt idx="35">
                  <c:v>46027</c:v>
                </c:pt>
                <c:pt idx="36">
                  <c:v>46034</c:v>
                </c:pt>
              </c:numCache>
            </c:numRef>
          </c:cat>
          <c:val>
            <c:numRef>
              <c:f>'Broad Based Historical Pricing'!$B$12:$B$119</c:f>
              <c:numCache>
                <c:formatCode>0.00%</c:formatCode>
                <c:ptCount val="37"/>
                <c:pt idx="0">
                  <c:v>0.11548</c:v>
                </c:pt>
                <c:pt idx="1">
                  <c:v>0.1176</c:v>
                </c:pt>
                <c:pt idx="2">
                  <c:v>0.1099</c:v>
                </c:pt>
                <c:pt idx="3">
                  <c:v>0.1183</c:v>
                </c:pt>
                <c:pt idx="4">
                  <c:v>0.11409999999999999</c:v>
                </c:pt>
                <c:pt idx="5">
                  <c:v>0.1071</c:v>
                </c:pt>
                <c:pt idx="6">
                  <c:v>0.1171</c:v>
                </c:pt>
                <c:pt idx="7">
                  <c:v>0.1138</c:v>
                </c:pt>
                <c:pt idx="8">
                  <c:v>0.10299999999999999</c:v>
                </c:pt>
                <c:pt idx="9">
                  <c:v>9.8100000000000007E-2</c:v>
                </c:pt>
                <c:pt idx="10">
                  <c:v>0.104</c:v>
                </c:pt>
                <c:pt idx="11">
                  <c:v>0.10979999999999999</c:v>
                </c:pt>
                <c:pt idx="12">
                  <c:v>0.10009999999999999</c:v>
                </c:pt>
                <c:pt idx="13">
                  <c:v>0.1072</c:v>
                </c:pt>
                <c:pt idx="14">
                  <c:v>0.1027</c:v>
                </c:pt>
                <c:pt idx="15">
                  <c:v>0.10199999999999999</c:v>
                </c:pt>
                <c:pt idx="16">
                  <c:v>0.1032</c:v>
                </c:pt>
                <c:pt idx="17">
                  <c:v>0.1053</c:v>
                </c:pt>
                <c:pt idx="18">
                  <c:v>9.8400000000000001E-2</c:v>
                </c:pt>
                <c:pt idx="19">
                  <c:v>9.8100000000000007E-2</c:v>
                </c:pt>
                <c:pt idx="20">
                  <c:v>9.9299999999999999E-2</c:v>
                </c:pt>
                <c:pt idx="21">
                  <c:v>0.1013</c:v>
                </c:pt>
                <c:pt idx="22">
                  <c:v>0.10199999999999999</c:v>
                </c:pt>
                <c:pt idx="23">
                  <c:v>0.111</c:v>
                </c:pt>
                <c:pt idx="24">
                  <c:v>0.11070000000000001</c:v>
                </c:pt>
                <c:pt idx="25">
                  <c:v>0.1065</c:v>
                </c:pt>
                <c:pt idx="26">
                  <c:v>0.1104</c:v>
                </c:pt>
                <c:pt idx="27">
                  <c:v>0.1147</c:v>
                </c:pt>
                <c:pt idx="28">
                  <c:v>0.1144</c:v>
                </c:pt>
                <c:pt idx="29">
                  <c:v>0.1172</c:v>
                </c:pt>
                <c:pt idx="30">
                  <c:v>0.10290000000000001</c:v>
                </c:pt>
                <c:pt idx="31">
                  <c:v>0.10539999999999999</c:v>
                </c:pt>
                <c:pt idx="32">
                  <c:v>0.106</c:v>
                </c:pt>
                <c:pt idx="33">
                  <c:v>0.10050000000000001</c:v>
                </c:pt>
                <c:pt idx="34">
                  <c:v>0.10059999999999999</c:v>
                </c:pt>
                <c:pt idx="35">
                  <c:v>0.10290000000000001</c:v>
                </c:pt>
                <c:pt idx="36">
                  <c:v>0.10150000000000001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B5C-4716-BA19-FD6F6F7FB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4320096"/>
        <c:axId val="1056269216"/>
      </c:lineChart>
      <c:dateAx>
        <c:axId val="10943200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269216"/>
        <c:crosses val="autoZero"/>
        <c:auto val="1"/>
        <c:lblOffset val="100"/>
        <c:baseTimeUnit val="days"/>
        <c:majorUnit val="30"/>
        <c:majorTimeUnit val="days"/>
      </c:dateAx>
      <c:valAx>
        <c:axId val="10562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32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2937014647885E-2"/>
          <c:y val="2.9021097804908146E-2"/>
          <c:w val="0.92516667009841758"/>
          <c:h val="0.83635960161624412"/>
        </c:manualLayout>
      </c:layou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36"/>
              <c:layout>
                <c:manualLayout>
                  <c:x val="-2.8094833257323971E-2"/>
                  <c:y val="-0.112316982088051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5C3-4CF3-8C7A-42997B39AD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'Broad Based Historical Pricing'!$L$15:$L$119</c:f>
              <c:numCache>
                <c:formatCode>m/d/yyyy</c:formatCode>
                <c:ptCount val="37"/>
                <c:pt idx="0">
                  <c:v>45782</c:v>
                </c:pt>
                <c:pt idx="1">
                  <c:v>45789</c:v>
                </c:pt>
                <c:pt idx="2">
                  <c:v>45796</c:v>
                </c:pt>
                <c:pt idx="3">
                  <c:v>45804</c:v>
                </c:pt>
                <c:pt idx="4">
                  <c:v>45810</c:v>
                </c:pt>
                <c:pt idx="5">
                  <c:v>45817</c:v>
                </c:pt>
                <c:pt idx="6">
                  <c:v>45824</c:v>
                </c:pt>
                <c:pt idx="7">
                  <c:v>45831</c:v>
                </c:pt>
                <c:pt idx="8">
                  <c:v>45838</c:v>
                </c:pt>
                <c:pt idx="9">
                  <c:v>45845</c:v>
                </c:pt>
                <c:pt idx="10">
                  <c:v>45852</c:v>
                </c:pt>
                <c:pt idx="11">
                  <c:v>45859</c:v>
                </c:pt>
                <c:pt idx="12">
                  <c:v>45866</c:v>
                </c:pt>
                <c:pt idx="13">
                  <c:v>45873</c:v>
                </c:pt>
                <c:pt idx="14">
                  <c:v>45880</c:v>
                </c:pt>
                <c:pt idx="15">
                  <c:v>45887</c:v>
                </c:pt>
                <c:pt idx="16">
                  <c:v>45894</c:v>
                </c:pt>
                <c:pt idx="17">
                  <c:v>45902</c:v>
                </c:pt>
                <c:pt idx="18">
                  <c:v>45908</c:v>
                </c:pt>
                <c:pt idx="19">
                  <c:v>45915</c:v>
                </c:pt>
                <c:pt idx="20">
                  <c:v>45922</c:v>
                </c:pt>
                <c:pt idx="21">
                  <c:v>45927</c:v>
                </c:pt>
                <c:pt idx="22">
                  <c:v>45936</c:v>
                </c:pt>
                <c:pt idx="23">
                  <c:v>45943</c:v>
                </c:pt>
                <c:pt idx="24">
                  <c:v>45950</c:v>
                </c:pt>
                <c:pt idx="25">
                  <c:v>45957</c:v>
                </c:pt>
                <c:pt idx="26">
                  <c:v>45964</c:v>
                </c:pt>
                <c:pt idx="27">
                  <c:v>45971</c:v>
                </c:pt>
                <c:pt idx="28">
                  <c:v>45978</c:v>
                </c:pt>
                <c:pt idx="29">
                  <c:v>45985</c:v>
                </c:pt>
                <c:pt idx="30">
                  <c:v>45992</c:v>
                </c:pt>
                <c:pt idx="31">
                  <c:v>45999</c:v>
                </c:pt>
                <c:pt idx="32">
                  <c:v>46006</c:v>
                </c:pt>
                <c:pt idx="33">
                  <c:v>46013</c:v>
                </c:pt>
                <c:pt idx="34">
                  <c:v>46020</c:v>
                </c:pt>
                <c:pt idx="35">
                  <c:v>46027</c:v>
                </c:pt>
                <c:pt idx="36">
                  <c:v>46034</c:v>
                </c:pt>
              </c:numCache>
            </c:numRef>
          </c:cat>
          <c:val>
            <c:numRef>
              <c:f>'Broad Based Historical Pricing'!$N$15:$N$119</c:f>
              <c:numCache>
                <c:formatCode>0.00%</c:formatCode>
                <c:ptCount val="37"/>
                <c:pt idx="0">
                  <c:v>7.5789999999999996E-2</c:v>
                </c:pt>
                <c:pt idx="1">
                  <c:v>7.6270000000000004E-2</c:v>
                </c:pt>
                <c:pt idx="2">
                  <c:v>6.8519999999999998E-2</c:v>
                </c:pt>
                <c:pt idx="3">
                  <c:v>7.6789999999999997E-2</c:v>
                </c:pt>
                <c:pt idx="4">
                  <c:v>7.2999999999999995E-2</c:v>
                </c:pt>
                <c:pt idx="5">
                  <c:v>6.5439999999999998E-2</c:v>
                </c:pt>
                <c:pt idx="6">
                  <c:v>7.6100000000000001E-2</c:v>
                </c:pt>
                <c:pt idx="7">
                  <c:v>7.306E-2</c:v>
                </c:pt>
                <c:pt idx="8">
                  <c:v>6.2979999999999994E-2</c:v>
                </c:pt>
                <c:pt idx="9">
                  <c:v>5.7300000000000004E-2</c:v>
                </c:pt>
                <c:pt idx="10">
                  <c:v>6.3199999999999992E-2</c:v>
                </c:pt>
                <c:pt idx="11">
                  <c:v>6.8999999999999992E-2</c:v>
                </c:pt>
                <c:pt idx="12">
                  <c:v>5.8929999999999996E-2</c:v>
                </c:pt>
                <c:pt idx="13">
                  <c:v>6.8780000000000008E-2</c:v>
                </c:pt>
                <c:pt idx="14">
                  <c:v>6.3420000000000004E-2</c:v>
                </c:pt>
                <c:pt idx="15">
                  <c:v>6.273999999999999E-2</c:v>
                </c:pt>
                <c:pt idx="16">
                  <c:v>6.4090000000000008E-2</c:v>
                </c:pt>
                <c:pt idx="17">
                  <c:v>6.6650000000000015E-2</c:v>
                </c:pt>
                <c:pt idx="18">
                  <c:v>6.1960000000000001E-2</c:v>
                </c:pt>
                <c:pt idx="19">
                  <c:v>6.1620000000000008E-2</c:v>
                </c:pt>
                <c:pt idx="20">
                  <c:v>6.3320000000000001E-2</c:v>
                </c:pt>
                <c:pt idx="21">
                  <c:v>6.4590000000000009E-2</c:v>
                </c:pt>
                <c:pt idx="22">
                  <c:v>6.5449999999999994E-2</c:v>
                </c:pt>
                <c:pt idx="23">
                  <c:v>7.4840000000000004E-2</c:v>
                </c:pt>
                <c:pt idx="24">
                  <c:v>7.5040000000000009E-2</c:v>
                </c:pt>
                <c:pt idx="25">
                  <c:v>7.0459999999999995E-2</c:v>
                </c:pt>
                <c:pt idx="26">
                  <c:v>7.3419999999999999E-2</c:v>
                </c:pt>
                <c:pt idx="27">
                  <c:v>7.8199999999999992E-2</c:v>
                </c:pt>
                <c:pt idx="28">
                  <c:v>7.7350000000000002E-2</c:v>
                </c:pt>
                <c:pt idx="29">
                  <c:v>8.0949999999999994E-2</c:v>
                </c:pt>
                <c:pt idx="30">
                  <c:v>6.6830000000000001E-2</c:v>
                </c:pt>
                <c:pt idx="31">
                  <c:v>6.9330000000000003E-2</c:v>
                </c:pt>
                <c:pt idx="32">
                  <c:v>7.0999999999999994E-2</c:v>
                </c:pt>
                <c:pt idx="33">
                  <c:v>6.5500000000000003E-2</c:v>
                </c:pt>
                <c:pt idx="34">
                  <c:v>6.5729999999999997E-2</c:v>
                </c:pt>
                <c:pt idx="35">
                  <c:v>6.8180000000000004E-2</c:v>
                </c:pt>
                <c:pt idx="36">
                  <c:v>6.6290000000000016E-2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0A0-4CEB-AA85-5C030123689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85412912"/>
        <c:axId val="414897328"/>
      </c:lineChart>
      <c:dateAx>
        <c:axId val="148541291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897328"/>
        <c:crosses val="autoZero"/>
        <c:auto val="1"/>
        <c:lblOffset val="100"/>
        <c:baseTimeUnit val="days"/>
      </c:dateAx>
      <c:valAx>
        <c:axId val="4148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4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9776731435426318E-2"/>
          <c:y val="0.13724685765328912"/>
          <c:w val="0.92538407065391626"/>
          <c:h val="0.69707362980922605"/>
        </c:manualLayout>
      </c:layout>
      <c:lineChart>
        <c:grouping val="standard"/>
        <c:varyColors val="0"/>
        <c:ser>
          <c:idx val="0"/>
          <c:order val="0"/>
          <c:tx>
            <c:strRef>
              <c:f>'Volatility &amp; Correlation'!$U$3</c:f>
              <c:strCache>
                <c:ptCount val="1"/>
                <c:pt idx="0">
                  <c:v>1 Year</c:v>
                </c:pt>
              </c:strCache>
            </c:strRef>
          </c:tx>
          <c:spPr>
            <a:ln w="38100" cap="flat" cmpd="dbl" algn="ctr">
              <a:solidFill>
                <a:schemeClr val="accent1"/>
              </a:solidFill>
              <a:miter lim="800000"/>
            </a:ln>
            <a:effectLst/>
          </c:spPr>
          <c:marker>
            <c:symbol val="none"/>
          </c:marker>
          <c:cat>
            <c:numRef>
              <c:f>'Volatility &amp; Correlation'!$T$51:$T$116</c:f>
              <c:numCache>
                <c:formatCode>m/d/yyyy</c:formatCode>
                <c:ptCount val="32"/>
                <c:pt idx="0">
                  <c:v>45817</c:v>
                </c:pt>
                <c:pt idx="1">
                  <c:v>45824</c:v>
                </c:pt>
                <c:pt idx="2">
                  <c:v>45831</c:v>
                </c:pt>
                <c:pt idx="3">
                  <c:v>45838</c:v>
                </c:pt>
                <c:pt idx="4">
                  <c:v>45845</c:v>
                </c:pt>
                <c:pt idx="5">
                  <c:v>45852</c:v>
                </c:pt>
                <c:pt idx="6">
                  <c:v>45859</c:v>
                </c:pt>
                <c:pt idx="7">
                  <c:v>45866</c:v>
                </c:pt>
                <c:pt idx="8">
                  <c:v>45873</c:v>
                </c:pt>
                <c:pt idx="9">
                  <c:v>45880</c:v>
                </c:pt>
                <c:pt idx="10">
                  <c:v>45887</c:v>
                </c:pt>
                <c:pt idx="11">
                  <c:v>45894</c:v>
                </c:pt>
                <c:pt idx="12">
                  <c:v>45902</c:v>
                </c:pt>
                <c:pt idx="13">
                  <c:v>45908</c:v>
                </c:pt>
                <c:pt idx="14">
                  <c:v>45915</c:v>
                </c:pt>
                <c:pt idx="15">
                  <c:v>45922</c:v>
                </c:pt>
                <c:pt idx="16">
                  <c:v>45929</c:v>
                </c:pt>
                <c:pt idx="17">
                  <c:v>45936</c:v>
                </c:pt>
                <c:pt idx="18">
                  <c:v>45943</c:v>
                </c:pt>
                <c:pt idx="19">
                  <c:v>45950</c:v>
                </c:pt>
                <c:pt idx="20">
                  <c:v>45957</c:v>
                </c:pt>
                <c:pt idx="21">
                  <c:v>45964</c:v>
                </c:pt>
                <c:pt idx="22">
                  <c:v>45971</c:v>
                </c:pt>
                <c:pt idx="23">
                  <c:v>45978</c:v>
                </c:pt>
                <c:pt idx="24">
                  <c:v>45985</c:v>
                </c:pt>
                <c:pt idx="25">
                  <c:v>45992</c:v>
                </c:pt>
                <c:pt idx="26">
                  <c:v>45999</c:v>
                </c:pt>
                <c:pt idx="27">
                  <c:v>46006</c:v>
                </c:pt>
                <c:pt idx="28">
                  <c:v>46013</c:v>
                </c:pt>
                <c:pt idx="29">
                  <c:v>46020</c:v>
                </c:pt>
                <c:pt idx="30">
                  <c:v>46027</c:v>
                </c:pt>
                <c:pt idx="31">
                  <c:v>46034</c:v>
                </c:pt>
              </c:numCache>
            </c:numRef>
          </c:cat>
          <c:val>
            <c:numRef>
              <c:f>'Volatility &amp; Correlation'!$U$51:$U$116</c:f>
              <c:numCache>
                <c:formatCode>0.00%</c:formatCode>
                <c:ptCount val="32"/>
                <c:pt idx="0">
                  <c:v>4.1660000000000003E-2</c:v>
                </c:pt>
                <c:pt idx="1">
                  <c:v>4.1000000000000002E-2</c:v>
                </c:pt>
                <c:pt idx="2">
                  <c:v>4.0739999999999998E-2</c:v>
                </c:pt>
                <c:pt idx="3">
                  <c:v>4.002E-2</c:v>
                </c:pt>
                <c:pt idx="4">
                  <c:v>4.0800000000000003E-2</c:v>
                </c:pt>
                <c:pt idx="5">
                  <c:v>4.0869999999999997E-2</c:v>
                </c:pt>
                <c:pt idx="6">
                  <c:v>4.0840000000000001E-2</c:v>
                </c:pt>
                <c:pt idx="7">
                  <c:v>4.1169999999999998E-2</c:v>
                </c:pt>
                <c:pt idx="8">
                  <c:v>3.8420000000000003E-2</c:v>
                </c:pt>
                <c:pt idx="9">
                  <c:v>3.9280000000000002E-2</c:v>
                </c:pt>
                <c:pt idx="10">
                  <c:v>3.9260000000000003E-2</c:v>
                </c:pt>
                <c:pt idx="11">
                  <c:v>3.9109999999999999E-2</c:v>
                </c:pt>
                <c:pt idx="12">
                  <c:v>3.8649999999999997E-2</c:v>
                </c:pt>
                <c:pt idx="13">
                  <c:v>3.644E-2</c:v>
                </c:pt>
                <c:pt idx="14">
                  <c:v>3.6479999999999999E-2</c:v>
                </c:pt>
                <c:pt idx="15">
                  <c:v>3.5979999999999998E-2</c:v>
                </c:pt>
                <c:pt idx="16">
                  <c:v>3.671E-2</c:v>
                </c:pt>
                <c:pt idx="17">
                  <c:v>3.6549999999999999E-2</c:v>
                </c:pt>
                <c:pt idx="18">
                  <c:v>3.6159999999999998E-2</c:v>
                </c:pt>
                <c:pt idx="19">
                  <c:v>3.5659999999999997E-2</c:v>
                </c:pt>
                <c:pt idx="20">
                  <c:v>3.6040000000000003E-2</c:v>
                </c:pt>
                <c:pt idx="21">
                  <c:v>3.6979999999999999E-2</c:v>
                </c:pt>
                <c:pt idx="22">
                  <c:v>3.6499999999999998E-2</c:v>
                </c:pt>
                <c:pt idx="23">
                  <c:v>3.705E-2</c:v>
                </c:pt>
                <c:pt idx="24">
                  <c:v>3.6249999999999998E-2</c:v>
                </c:pt>
                <c:pt idx="25">
                  <c:v>3.6069999999999998E-2</c:v>
                </c:pt>
                <c:pt idx="26">
                  <c:v>3.6159999999999998E-2</c:v>
                </c:pt>
                <c:pt idx="27">
                  <c:v>3.5000000000000003E-2</c:v>
                </c:pt>
                <c:pt idx="28">
                  <c:v>3.5220000000000001E-2</c:v>
                </c:pt>
                <c:pt idx="29">
                  <c:v>3.4869999999999998E-2</c:v>
                </c:pt>
                <c:pt idx="30">
                  <c:v>3.4720000000000001E-2</c:v>
                </c:pt>
                <c:pt idx="31">
                  <c:v>3.5209999999999998E-2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CA-4E34-8393-012B6F846E4C}"/>
            </c:ext>
          </c:extLst>
        </c:ser>
        <c:ser>
          <c:idx val="1"/>
          <c:order val="1"/>
          <c:tx>
            <c:strRef>
              <c:f>'Volatility &amp; Correlation'!$V$3</c:f>
              <c:strCache>
                <c:ptCount val="1"/>
                <c:pt idx="0">
                  <c:v>2 Year</c:v>
                </c:pt>
              </c:strCache>
            </c:strRef>
          </c:tx>
          <c:spPr>
            <a:ln w="38100" cap="flat" cmpd="dbl" algn="ctr">
              <a:solidFill>
                <a:schemeClr val="accent2"/>
              </a:solidFill>
              <a:miter lim="800000"/>
            </a:ln>
            <a:effectLst/>
          </c:spPr>
          <c:marker>
            <c:symbol val="none"/>
          </c:marker>
          <c:cat>
            <c:numRef>
              <c:f>'Volatility &amp; Correlation'!$T$51:$T$116</c:f>
              <c:numCache>
                <c:formatCode>m/d/yyyy</c:formatCode>
                <c:ptCount val="32"/>
                <c:pt idx="0">
                  <c:v>45817</c:v>
                </c:pt>
                <c:pt idx="1">
                  <c:v>45824</c:v>
                </c:pt>
                <c:pt idx="2">
                  <c:v>45831</c:v>
                </c:pt>
                <c:pt idx="3">
                  <c:v>45838</c:v>
                </c:pt>
                <c:pt idx="4">
                  <c:v>45845</c:v>
                </c:pt>
                <c:pt idx="5">
                  <c:v>45852</c:v>
                </c:pt>
                <c:pt idx="6">
                  <c:v>45859</c:v>
                </c:pt>
                <c:pt idx="7">
                  <c:v>45866</c:v>
                </c:pt>
                <c:pt idx="8">
                  <c:v>45873</c:v>
                </c:pt>
                <c:pt idx="9">
                  <c:v>45880</c:v>
                </c:pt>
                <c:pt idx="10">
                  <c:v>45887</c:v>
                </c:pt>
                <c:pt idx="11">
                  <c:v>45894</c:v>
                </c:pt>
                <c:pt idx="12">
                  <c:v>45902</c:v>
                </c:pt>
                <c:pt idx="13">
                  <c:v>45908</c:v>
                </c:pt>
                <c:pt idx="14">
                  <c:v>45915</c:v>
                </c:pt>
                <c:pt idx="15">
                  <c:v>45922</c:v>
                </c:pt>
                <c:pt idx="16">
                  <c:v>45929</c:v>
                </c:pt>
                <c:pt idx="17">
                  <c:v>45936</c:v>
                </c:pt>
                <c:pt idx="18">
                  <c:v>45943</c:v>
                </c:pt>
                <c:pt idx="19">
                  <c:v>45950</c:v>
                </c:pt>
                <c:pt idx="20">
                  <c:v>45957</c:v>
                </c:pt>
                <c:pt idx="21">
                  <c:v>45964</c:v>
                </c:pt>
                <c:pt idx="22">
                  <c:v>45971</c:v>
                </c:pt>
                <c:pt idx="23">
                  <c:v>45978</c:v>
                </c:pt>
                <c:pt idx="24">
                  <c:v>45985</c:v>
                </c:pt>
                <c:pt idx="25">
                  <c:v>45992</c:v>
                </c:pt>
                <c:pt idx="26">
                  <c:v>45999</c:v>
                </c:pt>
                <c:pt idx="27">
                  <c:v>46006</c:v>
                </c:pt>
                <c:pt idx="28">
                  <c:v>46013</c:v>
                </c:pt>
                <c:pt idx="29">
                  <c:v>46020</c:v>
                </c:pt>
                <c:pt idx="30">
                  <c:v>46027</c:v>
                </c:pt>
                <c:pt idx="31">
                  <c:v>46034</c:v>
                </c:pt>
              </c:numCache>
            </c:numRef>
          </c:cat>
          <c:val>
            <c:numRef>
              <c:f>'Volatility &amp; Correlation'!$V$51:$V$116</c:f>
              <c:numCache>
                <c:formatCode>0.00%</c:formatCode>
                <c:ptCount val="32"/>
                <c:pt idx="0">
                  <c:v>4.0259999999999997E-2</c:v>
                </c:pt>
                <c:pt idx="1">
                  <c:v>3.9579999999999997E-2</c:v>
                </c:pt>
                <c:pt idx="2">
                  <c:v>3.8890000000000001E-2</c:v>
                </c:pt>
                <c:pt idx="3">
                  <c:v>3.7359999999999997E-2</c:v>
                </c:pt>
                <c:pt idx="4">
                  <c:v>3.8780000000000002E-2</c:v>
                </c:pt>
                <c:pt idx="5">
                  <c:v>3.8929999999999999E-2</c:v>
                </c:pt>
                <c:pt idx="6">
                  <c:v>3.8710000000000001E-2</c:v>
                </c:pt>
                <c:pt idx="7">
                  <c:v>3.9359999999999999E-2</c:v>
                </c:pt>
                <c:pt idx="8">
                  <c:v>3.6650000000000002E-2</c:v>
                </c:pt>
                <c:pt idx="9">
                  <c:v>3.7600000000000001E-2</c:v>
                </c:pt>
                <c:pt idx="10">
                  <c:v>3.7519999999999998E-2</c:v>
                </c:pt>
                <c:pt idx="11">
                  <c:v>3.7280000000000001E-2</c:v>
                </c:pt>
                <c:pt idx="12">
                  <c:v>3.6679999999999997E-2</c:v>
                </c:pt>
                <c:pt idx="13">
                  <c:v>3.4970000000000001E-2</c:v>
                </c:pt>
                <c:pt idx="14">
                  <c:v>3.5310000000000001E-2</c:v>
                </c:pt>
                <c:pt idx="15">
                  <c:v>3.567E-2</c:v>
                </c:pt>
                <c:pt idx="16">
                  <c:v>3.637E-2</c:v>
                </c:pt>
                <c:pt idx="17">
                  <c:v>3.594E-2</c:v>
                </c:pt>
                <c:pt idx="18">
                  <c:v>3.5290000000000002E-2</c:v>
                </c:pt>
                <c:pt idx="19">
                  <c:v>3.4590000000000003E-2</c:v>
                </c:pt>
                <c:pt idx="20">
                  <c:v>3.5069999999999997E-2</c:v>
                </c:pt>
                <c:pt idx="21">
                  <c:v>3.6049999999999999E-2</c:v>
                </c:pt>
                <c:pt idx="22">
                  <c:v>3.5819999999999998E-2</c:v>
                </c:pt>
                <c:pt idx="23">
                  <c:v>3.6060000000000002E-2</c:v>
                </c:pt>
                <c:pt idx="24">
                  <c:v>3.5119999999999998E-2</c:v>
                </c:pt>
                <c:pt idx="25">
                  <c:v>3.5180000000000003E-2</c:v>
                </c:pt>
                <c:pt idx="26">
                  <c:v>3.5790000000000002E-2</c:v>
                </c:pt>
                <c:pt idx="27">
                  <c:v>3.499E-2</c:v>
                </c:pt>
                <c:pt idx="28">
                  <c:v>3.5020000000000003E-2</c:v>
                </c:pt>
                <c:pt idx="29">
                  <c:v>3.4669999999999999E-2</c:v>
                </c:pt>
                <c:pt idx="30">
                  <c:v>3.4750000000000003E-2</c:v>
                </c:pt>
                <c:pt idx="31">
                  <c:v>3.5409999999999997E-2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CA-4E34-8393-012B6F846E4C}"/>
            </c:ext>
          </c:extLst>
        </c:ser>
        <c:ser>
          <c:idx val="2"/>
          <c:order val="2"/>
          <c:tx>
            <c:strRef>
              <c:f>'Volatility &amp; Correlation'!$W$3</c:f>
              <c:strCache>
                <c:ptCount val="1"/>
                <c:pt idx="0">
                  <c:v>3 Year</c:v>
                </c:pt>
              </c:strCache>
            </c:strRef>
          </c:tx>
          <c:spPr>
            <a:ln w="38100" cap="flat" cmpd="dbl" algn="ctr">
              <a:solidFill>
                <a:schemeClr val="accent3"/>
              </a:solidFill>
              <a:miter lim="800000"/>
            </a:ln>
            <a:effectLst/>
          </c:spPr>
          <c:marker>
            <c:symbol val="none"/>
          </c:marker>
          <c:cat>
            <c:numRef>
              <c:f>'Volatility &amp; Correlation'!$T$51:$T$116</c:f>
              <c:numCache>
                <c:formatCode>m/d/yyyy</c:formatCode>
                <c:ptCount val="32"/>
                <c:pt idx="0">
                  <c:v>45817</c:v>
                </c:pt>
                <c:pt idx="1">
                  <c:v>45824</c:v>
                </c:pt>
                <c:pt idx="2">
                  <c:v>45831</c:v>
                </c:pt>
                <c:pt idx="3">
                  <c:v>45838</c:v>
                </c:pt>
                <c:pt idx="4">
                  <c:v>45845</c:v>
                </c:pt>
                <c:pt idx="5">
                  <c:v>45852</c:v>
                </c:pt>
                <c:pt idx="6">
                  <c:v>45859</c:v>
                </c:pt>
                <c:pt idx="7">
                  <c:v>45866</c:v>
                </c:pt>
                <c:pt idx="8">
                  <c:v>45873</c:v>
                </c:pt>
                <c:pt idx="9">
                  <c:v>45880</c:v>
                </c:pt>
                <c:pt idx="10">
                  <c:v>45887</c:v>
                </c:pt>
                <c:pt idx="11">
                  <c:v>45894</c:v>
                </c:pt>
                <c:pt idx="12">
                  <c:v>45902</c:v>
                </c:pt>
                <c:pt idx="13">
                  <c:v>45908</c:v>
                </c:pt>
                <c:pt idx="14">
                  <c:v>45915</c:v>
                </c:pt>
                <c:pt idx="15">
                  <c:v>45922</c:v>
                </c:pt>
                <c:pt idx="16">
                  <c:v>45929</c:v>
                </c:pt>
                <c:pt idx="17">
                  <c:v>45936</c:v>
                </c:pt>
                <c:pt idx="18">
                  <c:v>45943</c:v>
                </c:pt>
                <c:pt idx="19">
                  <c:v>45950</c:v>
                </c:pt>
                <c:pt idx="20">
                  <c:v>45957</c:v>
                </c:pt>
                <c:pt idx="21">
                  <c:v>45964</c:v>
                </c:pt>
                <c:pt idx="22">
                  <c:v>45971</c:v>
                </c:pt>
                <c:pt idx="23">
                  <c:v>45978</c:v>
                </c:pt>
                <c:pt idx="24">
                  <c:v>45985</c:v>
                </c:pt>
                <c:pt idx="25">
                  <c:v>45992</c:v>
                </c:pt>
                <c:pt idx="26">
                  <c:v>45999</c:v>
                </c:pt>
                <c:pt idx="27">
                  <c:v>46006</c:v>
                </c:pt>
                <c:pt idx="28">
                  <c:v>46013</c:v>
                </c:pt>
                <c:pt idx="29">
                  <c:v>46020</c:v>
                </c:pt>
                <c:pt idx="30">
                  <c:v>46027</c:v>
                </c:pt>
                <c:pt idx="31">
                  <c:v>46034</c:v>
                </c:pt>
              </c:numCache>
            </c:numRef>
          </c:cat>
          <c:val>
            <c:numRef>
              <c:f>'Volatility &amp; Correlation'!$W$51:$W$116</c:f>
              <c:numCache>
                <c:formatCode>0.00%</c:formatCode>
                <c:ptCount val="32"/>
                <c:pt idx="0">
                  <c:v>4.0099999999999997E-2</c:v>
                </c:pt>
                <c:pt idx="1">
                  <c:v>3.9170000000000003E-2</c:v>
                </c:pt>
                <c:pt idx="2">
                  <c:v>3.8339999999999999E-2</c:v>
                </c:pt>
                <c:pt idx="3">
                  <c:v>3.7060000000000003E-2</c:v>
                </c:pt>
                <c:pt idx="4">
                  <c:v>3.8420000000000003E-2</c:v>
                </c:pt>
                <c:pt idx="5">
                  <c:v>3.8679999999999999E-2</c:v>
                </c:pt>
                <c:pt idx="6">
                  <c:v>3.8359999999999998E-2</c:v>
                </c:pt>
                <c:pt idx="7">
                  <c:v>3.882E-2</c:v>
                </c:pt>
                <c:pt idx="8">
                  <c:v>3.6389999999999999E-2</c:v>
                </c:pt>
                <c:pt idx="9">
                  <c:v>3.7240000000000002E-2</c:v>
                </c:pt>
                <c:pt idx="10">
                  <c:v>3.7139999999999999E-2</c:v>
                </c:pt>
                <c:pt idx="11">
                  <c:v>3.671E-2</c:v>
                </c:pt>
                <c:pt idx="12">
                  <c:v>3.6409999999999998E-2</c:v>
                </c:pt>
                <c:pt idx="13">
                  <c:v>3.4689999999999999E-2</c:v>
                </c:pt>
                <c:pt idx="14">
                  <c:v>3.4939999999999999E-2</c:v>
                </c:pt>
                <c:pt idx="15">
                  <c:v>3.5479999999999998E-2</c:v>
                </c:pt>
                <c:pt idx="16">
                  <c:v>3.6429999999999997E-2</c:v>
                </c:pt>
                <c:pt idx="17">
                  <c:v>3.6130000000000002E-2</c:v>
                </c:pt>
                <c:pt idx="18">
                  <c:v>3.5389999999999998E-2</c:v>
                </c:pt>
                <c:pt idx="19">
                  <c:v>3.4639999999999997E-2</c:v>
                </c:pt>
                <c:pt idx="20">
                  <c:v>3.5110000000000002E-2</c:v>
                </c:pt>
                <c:pt idx="21">
                  <c:v>3.6089999999999997E-2</c:v>
                </c:pt>
                <c:pt idx="22">
                  <c:v>3.594E-2</c:v>
                </c:pt>
                <c:pt idx="23">
                  <c:v>3.6049999999999999E-2</c:v>
                </c:pt>
                <c:pt idx="24">
                  <c:v>3.4970000000000001E-2</c:v>
                </c:pt>
                <c:pt idx="25">
                  <c:v>3.5229999999999997E-2</c:v>
                </c:pt>
                <c:pt idx="26">
                  <c:v>3.6040000000000003E-2</c:v>
                </c:pt>
                <c:pt idx="27">
                  <c:v>3.5499999999999997E-2</c:v>
                </c:pt>
                <c:pt idx="28">
                  <c:v>3.5499999999999997E-2</c:v>
                </c:pt>
                <c:pt idx="29">
                  <c:v>3.5130000000000002E-2</c:v>
                </c:pt>
                <c:pt idx="30">
                  <c:v>3.5450000000000002E-2</c:v>
                </c:pt>
                <c:pt idx="31">
                  <c:v>3.5990000000000001E-2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CA-4E34-8393-012B6F846E4C}"/>
            </c:ext>
          </c:extLst>
        </c:ser>
        <c:ser>
          <c:idx val="3"/>
          <c:order val="3"/>
          <c:tx>
            <c:strRef>
              <c:f>'Volatility &amp; Correlation'!$X$3</c:f>
              <c:strCache>
                <c:ptCount val="1"/>
                <c:pt idx="0">
                  <c:v>5 Year</c:v>
                </c:pt>
              </c:strCache>
            </c:strRef>
          </c:tx>
          <c:spPr>
            <a:ln w="38100" cap="flat" cmpd="dbl" algn="ctr">
              <a:solidFill>
                <a:schemeClr val="accent4"/>
              </a:solidFill>
              <a:miter lim="800000"/>
            </a:ln>
            <a:effectLst/>
          </c:spPr>
          <c:marker>
            <c:symbol val="none"/>
          </c:marker>
          <c:cat>
            <c:numRef>
              <c:f>'Volatility &amp; Correlation'!$T$51:$T$116</c:f>
              <c:numCache>
                <c:formatCode>m/d/yyyy</c:formatCode>
                <c:ptCount val="32"/>
                <c:pt idx="0">
                  <c:v>45817</c:v>
                </c:pt>
                <c:pt idx="1">
                  <c:v>45824</c:v>
                </c:pt>
                <c:pt idx="2">
                  <c:v>45831</c:v>
                </c:pt>
                <c:pt idx="3">
                  <c:v>45838</c:v>
                </c:pt>
                <c:pt idx="4">
                  <c:v>45845</c:v>
                </c:pt>
                <c:pt idx="5">
                  <c:v>45852</c:v>
                </c:pt>
                <c:pt idx="6">
                  <c:v>45859</c:v>
                </c:pt>
                <c:pt idx="7">
                  <c:v>45866</c:v>
                </c:pt>
                <c:pt idx="8">
                  <c:v>45873</c:v>
                </c:pt>
                <c:pt idx="9">
                  <c:v>45880</c:v>
                </c:pt>
                <c:pt idx="10">
                  <c:v>45887</c:v>
                </c:pt>
                <c:pt idx="11">
                  <c:v>45894</c:v>
                </c:pt>
                <c:pt idx="12">
                  <c:v>45902</c:v>
                </c:pt>
                <c:pt idx="13">
                  <c:v>45908</c:v>
                </c:pt>
                <c:pt idx="14">
                  <c:v>45915</c:v>
                </c:pt>
                <c:pt idx="15">
                  <c:v>45922</c:v>
                </c:pt>
                <c:pt idx="16">
                  <c:v>45929</c:v>
                </c:pt>
                <c:pt idx="17">
                  <c:v>45936</c:v>
                </c:pt>
                <c:pt idx="18">
                  <c:v>45943</c:v>
                </c:pt>
                <c:pt idx="19">
                  <c:v>45950</c:v>
                </c:pt>
                <c:pt idx="20">
                  <c:v>45957</c:v>
                </c:pt>
                <c:pt idx="21">
                  <c:v>45964</c:v>
                </c:pt>
                <c:pt idx="22">
                  <c:v>45971</c:v>
                </c:pt>
                <c:pt idx="23">
                  <c:v>45978</c:v>
                </c:pt>
                <c:pt idx="24">
                  <c:v>45985</c:v>
                </c:pt>
                <c:pt idx="25">
                  <c:v>45992</c:v>
                </c:pt>
                <c:pt idx="26">
                  <c:v>45999</c:v>
                </c:pt>
                <c:pt idx="27">
                  <c:v>46006</c:v>
                </c:pt>
                <c:pt idx="28">
                  <c:v>46013</c:v>
                </c:pt>
                <c:pt idx="29">
                  <c:v>46020</c:v>
                </c:pt>
                <c:pt idx="30">
                  <c:v>46027</c:v>
                </c:pt>
                <c:pt idx="31">
                  <c:v>46034</c:v>
                </c:pt>
              </c:numCache>
            </c:numRef>
          </c:cat>
          <c:val>
            <c:numRef>
              <c:f>'Volatility &amp; Correlation'!$X$51:$X$116</c:f>
              <c:numCache>
                <c:formatCode>0.00%</c:formatCode>
                <c:ptCount val="32"/>
                <c:pt idx="0">
                  <c:v>4.1149999999999999E-2</c:v>
                </c:pt>
                <c:pt idx="1">
                  <c:v>4.0210000000000003E-2</c:v>
                </c:pt>
                <c:pt idx="2">
                  <c:v>3.9289999999999999E-2</c:v>
                </c:pt>
                <c:pt idx="3">
                  <c:v>3.8159999999999999E-2</c:v>
                </c:pt>
                <c:pt idx="4">
                  <c:v>3.943E-2</c:v>
                </c:pt>
                <c:pt idx="5">
                  <c:v>3.9829999999999997E-2</c:v>
                </c:pt>
                <c:pt idx="6">
                  <c:v>3.95E-2</c:v>
                </c:pt>
                <c:pt idx="7">
                  <c:v>3.9699999999999999E-2</c:v>
                </c:pt>
                <c:pt idx="8">
                  <c:v>3.7400000000000003E-2</c:v>
                </c:pt>
                <c:pt idx="9">
                  <c:v>3.8210000000000001E-2</c:v>
                </c:pt>
                <c:pt idx="10">
                  <c:v>3.8330000000000003E-2</c:v>
                </c:pt>
                <c:pt idx="11">
                  <c:v>3.7830000000000003E-2</c:v>
                </c:pt>
                <c:pt idx="12">
                  <c:v>3.7650000000000003E-2</c:v>
                </c:pt>
                <c:pt idx="13">
                  <c:v>3.576E-2</c:v>
                </c:pt>
                <c:pt idx="14">
                  <c:v>3.5970000000000002E-2</c:v>
                </c:pt>
                <c:pt idx="15">
                  <c:v>3.6679999999999997E-2</c:v>
                </c:pt>
                <c:pt idx="16">
                  <c:v>3.7530000000000001E-2</c:v>
                </c:pt>
                <c:pt idx="17">
                  <c:v>3.7409999999999999E-2</c:v>
                </c:pt>
                <c:pt idx="18">
                  <c:v>3.6540000000000003E-2</c:v>
                </c:pt>
                <c:pt idx="19">
                  <c:v>3.5810000000000002E-2</c:v>
                </c:pt>
                <c:pt idx="20">
                  <c:v>3.6269999999999997E-2</c:v>
                </c:pt>
                <c:pt idx="21">
                  <c:v>3.7199999999999997E-2</c:v>
                </c:pt>
                <c:pt idx="22">
                  <c:v>3.7080000000000002E-2</c:v>
                </c:pt>
                <c:pt idx="23">
                  <c:v>3.721E-2</c:v>
                </c:pt>
                <c:pt idx="24">
                  <c:v>3.6111999999999998E-2</c:v>
                </c:pt>
                <c:pt idx="25">
                  <c:v>3.6429999999999997E-2</c:v>
                </c:pt>
                <c:pt idx="26">
                  <c:v>3.7310000000000003E-2</c:v>
                </c:pt>
                <c:pt idx="27">
                  <c:v>3.7139999999999999E-2</c:v>
                </c:pt>
                <c:pt idx="28">
                  <c:v>3.7130000000000003E-2</c:v>
                </c:pt>
                <c:pt idx="29">
                  <c:v>3.6749999999999998E-2</c:v>
                </c:pt>
                <c:pt idx="30">
                  <c:v>3.7359999999999997E-2</c:v>
                </c:pt>
                <c:pt idx="31">
                  <c:v>3.7670000000000002E-2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CA-4E34-8393-012B6F846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1894912"/>
        <c:axId val="684307712"/>
      </c:lineChart>
      <c:dateAx>
        <c:axId val="18718949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307712"/>
        <c:crosses val="autoZero"/>
        <c:auto val="1"/>
        <c:lblOffset val="100"/>
        <c:baseTimeUnit val="days"/>
      </c:dateAx>
      <c:valAx>
        <c:axId val="68430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32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89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459441</xdr:colOff>
      <xdr:row>103</xdr:row>
      <xdr:rowOff>168088</xdr:rowOff>
    </xdr:from>
    <xdr:to>
      <xdr:col>35</xdr:col>
      <xdr:colOff>590101</xdr:colOff>
      <xdr:row>124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9E067D-719D-48DC-B522-5BC57EABE4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436515</xdr:colOff>
      <xdr:row>84</xdr:row>
      <xdr:rowOff>100854</xdr:rowOff>
    </xdr:from>
    <xdr:to>
      <xdr:col>35</xdr:col>
      <xdr:colOff>599402</xdr:colOff>
      <xdr:row>102</xdr:row>
      <xdr:rowOff>169492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5C59DD-32B5-4E6B-ABC5-ACBC219FB1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457200</xdr:colOff>
      <xdr:row>85</xdr:row>
      <xdr:rowOff>9525</xdr:rowOff>
    </xdr:from>
    <xdr:to>
      <xdr:col>42</xdr:col>
      <xdr:colOff>135081</xdr:colOff>
      <xdr:row>104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836633-E406-B92A-8889-07935880FD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64A0A-76DE-4B2C-88CC-93AAEA32728D}">
  <dimension ref="A1:AG119"/>
  <sheetViews>
    <sheetView tabSelected="1" zoomScale="85" zoomScaleNormal="85" workbookViewId="0">
      <pane xSplit="1" ySplit="55" topLeftCell="I97" activePane="bottomRight" state="frozen"/>
      <selection pane="topRight" activeCell="B1" sqref="B1"/>
      <selection pane="bottomLeft" activeCell="A56" sqref="A56"/>
      <selection pane="bottomRight" activeCell="I124" sqref="I124"/>
    </sheetView>
  </sheetViews>
  <sheetFormatPr defaultRowHeight="14.4" x14ac:dyDescent="0.3"/>
  <cols>
    <col min="1" max="1" width="11.6640625" bestFit="1" customWidth="1"/>
    <col min="2" max="5" width="15.109375" customWidth="1"/>
    <col min="6" max="6" width="20.5546875" bestFit="1" customWidth="1"/>
    <col min="7" max="11" width="15.109375" customWidth="1"/>
    <col min="12" max="12" width="11.6640625" bestFit="1" customWidth="1"/>
    <col min="13" max="13" width="14.5546875" bestFit="1" customWidth="1"/>
    <col min="14" max="14" width="22.88671875" bestFit="1" customWidth="1"/>
  </cols>
  <sheetData>
    <row r="1" spans="1:14" ht="15" thickBot="1" x14ac:dyDescent="0.35">
      <c r="B1" s="334" t="s">
        <v>58</v>
      </c>
      <c r="C1" s="335"/>
      <c r="D1" s="335"/>
      <c r="E1" s="335"/>
      <c r="F1" s="335"/>
      <c r="G1" s="335"/>
      <c r="H1" s="335"/>
      <c r="I1" s="335"/>
      <c r="J1" s="335"/>
      <c r="K1" s="336"/>
    </row>
    <row r="2" spans="1:14" ht="30.6" customHeight="1" x14ac:dyDescent="0.3">
      <c r="A2" s="258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2" t="s">
        <v>0</v>
      </c>
      <c r="M2" s="2" t="s">
        <v>11</v>
      </c>
      <c r="N2" s="3" t="s">
        <v>54</v>
      </c>
    </row>
    <row r="3" spans="1:14" hidden="1" x14ac:dyDescent="0.3">
      <c r="A3" s="259">
        <v>44481</v>
      </c>
      <c r="B3" s="257">
        <v>8.3409999999999998E-2</v>
      </c>
      <c r="C3" s="257">
        <v>7.5870000000000007E-2</v>
      </c>
      <c r="D3" s="257">
        <v>7.5850000000000001E-2</v>
      </c>
      <c r="E3" s="257">
        <v>8.09E-2</v>
      </c>
      <c r="F3" s="257">
        <v>7.2430000000000008E-2</v>
      </c>
      <c r="G3" s="257">
        <v>7.0669999999999997E-2</v>
      </c>
      <c r="H3" s="257">
        <v>6.7280000000000006E-2</v>
      </c>
      <c r="I3" s="257">
        <v>8.3420000000000008E-2</v>
      </c>
      <c r="J3" s="257">
        <v>7.5940000000000007E-2</v>
      </c>
      <c r="K3" s="257">
        <v>7.6039999999999996E-2</v>
      </c>
      <c r="L3" s="5">
        <v>44481</v>
      </c>
      <c r="M3" s="4">
        <v>9.1300000000000007E-4</v>
      </c>
      <c r="N3" s="260">
        <v>8.2497000000000001E-2</v>
      </c>
    </row>
    <row r="4" spans="1:14" hidden="1" x14ac:dyDescent="0.3">
      <c r="A4" s="259">
        <v>44516</v>
      </c>
      <c r="B4" s="257">
        <v>8.3780000000000007E-2</v>
      </c>
      <c r="C4" s="257">
        <v>7.0360000000000006E-2</v>
      </c>
      <c r="D4" s="257">
        <v>7.5020000000000003E-2</v>
      </c>
      <c r="E4" s="257">
        <v>8.344E-2</v>
      </c>
      <c r="F4" s="257">
        <v>7.5520000000000004E-2</v>
      </c>
      <c r="G4" s="257">
        <v>7.1050000000000002E-2</v>
      </c>
      <c r="H4" s="257">
        <v>6.7760000000000001E-2</v>
      </c>
      <c r="I4" s="257">
        <v>8.3210000000000006E-2</v>
      </c>
      <c r="J4" s="257">
        <v>7.4520000000000003E-2</v>
      </c>
      <c r="K4" s="257">
        <v>7.2260000000000005E-2</v>
      </c>
      <c r="L4" s="5">
        <v>44516</v>
      </c>
      <c r="M4" s="4">
        <v>1.5229999999999998E-3</v>
      </c>
      <c r="N4" s="260">
        <v>8.2257000000000011E-2</v>
      </c>
    </row>
    <row r="5" spans="1:14" hidden="1" x14ac:dyDescent="0.3">
      <c r="A5" s="259">
        <v>44544</v>
      </c>
      <c r="B5" s="257">
        <v>9.6100000000000005E-2</v>
      </c>
      <c r="C5" s="257">
        <v>9.2990000000000003E-2</v>
      </c>
      <c r="D5" s="257">
        <v>9.5920000000000005E-2</v>
      </c>
      <c r="E5" s="257">
        <v>9.4340000000000007E-2</v>
      </c>
      <c r="F5" s="257">
        <v>8.8819999999999996E-2</v>
      </c>
      <c r="G5" s="257">
        <v>8.6809999999999998E-2</v>
      </c>
      <c r="H5" s="257">
        <v>8.1470000000000001E-2</v>
      </c>
      <c r="I5" s="257">
        <v>9.6280000000000004E-2</v>
      </c>
      <c r="J5" s="257">
        <v>0.09</v>
      </c>
      <c r="K5" s="257">
        <v>8.9900000000000008E-2</v>
      </c>
      <c r="L5" s="5">
        <v>44544</v>
      </c>
      <c r="M5" s="4">
        <v>2.3869999999999998E-3</v>
      </c>
      <c r="N5" s="260">
        <v>9.3713000000000005E-2</v>
      </c>
    </row>
    <row r="6" spans="1:14" hidden="1" x14ac:dyDescent="0.3">
      <c r="A6" s="259">
        <v>44572</v>
      </c>
      <c r="B6" s="257">
        <v>9.9060000000000009E-2</v>
      </c>
      <c r="C6" s="257">
        <v>8.4339999999999998E-2</v>
      </c>
      <c r="D6" s="257">
        <v>8.7489999999999998E-2</v>
      </c>
      <c r="E6" s="257">
        <v>9.8330000000000001E-2</v>
      </c>
      <c r="F6" s="257">
        <v>8.8830000000000006E-2</v>
      </c>
      <c r="G6" s="257">
        <v>8.5080000000000003E-2</v>
      </c>
      <c r="H6" s="257">
        <v>7.7120000000000008E-2</v>
      </c>
      <c r="I6" s="257">
        <v>9.733E-2</v>
      </c>
      <c r="J6" s="257">
        <v>8.8200000000000001E-2</v>
      </c>
      <c r="K6" s="257">
        <v>8.7480000000000002E-2</v>
      </c>
      <c r="L6" s="5">
        <v>44572</v>
      </c>
      <c r="M6" s="4">
        <v>4.1999999999999997E-3</v>
      </c>
      <c r="N6" s="260">
        <v>9.4860000000000014E-2</v>
      </c>
    </row>
    <row r="7" spans="1:14" hidden="1" x14ac:dyDescent="0.3">
      <c r="A7" s="259">
        <v>44609</v>
      </c>
      <c r="B7" s="257">
        <v>0.10569000000000001</v>
      </c>
      <c r="C7" s="257">
        <v>8.8599999999999998E-2</v>
      </c>
      <c r="D7" s="257">
        <v>9.9940000000000001E-2</v>
      </c>
      <c r="E7" s="257">
        <v>0.10907</v>
      </c>
      <c r="F7" s="257">
        <v>0.10534</v>
      </c>
      <c r="G7" s="257">
        <v>9.4869999999999996E-2</v>
      </c>
      <c r="H7" s="257">
        <v>8.949E-2</v>
      </c>
      <c r="I7" s="257">
        <v>0.10927000000000001</v>
      </c>
      <c r="J7" s="257">
        <v>0.10264000000000001</v>
      </c>
      <c r="K7" s="257">
        <v>9.4719999999999999E-2</v>
      </c>
      <c r="L7" s="5">
        <v>44609</v>
      </c>
      <c r="M7" s="4">
        <v>9.8999999999999991E-3</v>
      </c>
      <c r="N7" s="260">
        <v>9.5790000000000014E-2</v>
      </c>
    </row>
    <row r="8" spans="1:14" hidden="1" x14ac:dyDescent="0.3">
      <c r="A8" s="259">
        <v>44637</v>
      </c>
      <c r="B8" s="257">
        <v>0.11283</v>
      </c>
      <c r="C8" s="257">
        <v>0.10134</v>
      </c>
      <c r="D8" s="257">
        <v>0.1038</v>
      </c>
      <c r="E8" s="257">
        <v>0.11402</v>
      </c>
      <c r="F8" s="257">
        <v>0.11336</v>
      </c>
      <c r="G8" s="257">
        <v>0.11079</v>
      </c>
      <c r="H8" s="257">
        <v>0.10439</v>
      </c>
      <c r="I8" s="257">
        <v>0.11954000000000001</v>
      </c>
      <c r="J8" s="257">
        <v>0.11320000000000001</v>
      </c>
      <c r="K8" s="257">
        <v>0.11137</v>
      </c>
      <c r="L8" s="5">
        <v>44637</v>
      </c>
      <c r="M8" s="4">
        <v>1.1899999999999999E-2</v>
      </c>
      <c r="N8" s="260">
        <v>0.10093000000000001</v>
      </c>
    </row>
    <row r="9" spans="1:14" hidden="1" x14ac:dyDescent="0.3">
      <c r="A9" s="259">
        <v>44665</v>
      </c>
      <c r="B9" s="257">
        <v>0.11098</v>
      </c>
      <c r="C9" s="257">
        <v>9.919E-2</v>
      </c>
      <c r="D9" s="257">
        <v>0.10211000000000001</v>
      </c>
      <c r="E9" s="257">
        <v>0.11210000000000001</v>
      </c>
      <c r="F9" s="257">
        <v>0.11347</v>
      </c>
      <c r="G9" s="257">
        <v>0.10783</v>
      </c>
      <c r="H9" s="257">
        <v>0.10193000000000001</v>
      </c>
      <c r="I9" s="257">
        <v>0.11934</v>
      </c>
      <c r="J9" s="257">
        <v>0.11324000000000001</v>
      </c>
      <c r="K9" s="257">
        <v>0.10876</v>
      </c>
      <c r="L9" s="5">
        <v>44665</v>
      </c>
      <c r="M9" s="4">
        <v>1.66E-2</v>
      </c>
      <c r="N9" s="260">
        <v>9.4379999999999992E-2</v>
      </c>
    </row>
    <row r="10" spans="1:14" hidden="1" x14ac:dyDescent="0.3">
      <c r="A10" s="259">
        <v>44693</v>
      </c>
      <c r="B10" s="257">
        <v>0.13717000000000001</v>
      </c>
      <c r="C10" s="257">
        <v>0.12007</v>
      </c>
      <c r="D10" s="257">
        <v>0.12731000000000001</v>
      </c>
      <c r="E10" s="257">
        <v>0.13857</v>
      </c>
      <c r="F10" s="257">
        <v>0.13435</v>
      </c>
      <c r="G10" s="257">
        <v>0.12506</v>
      </c>
      <c r="H10" s="257">
        <v>0.11752</v>
      </c>
      <c r="I10" s="257">
        <v>0.14243</v>
      </c>
      <c r="J10" s="257">
        <v>0.13378999999999999</v>
      </c>
      <c r="K10" s="257">
        <v>0.12570999999999999</v>
      </c>
      <c r="L10" s="5">
        <v>44693</v>
      </c>
      <c r="M10" s="4">
        <v>1.9E-2</v>
      </c>
      <c r="N10" s="260">
        <v>0.11817000000000001</v>
      </c>
    </row>
    <row r="11" spans="1:14" hidden="1" x14ac:dyDescent="0.3">
      <c r="A11" s="259">
        <v>44727</v>
      </c>
      <c r="B11" s="257">
        <v>0.14112</v>
      </c>
      <c r="C11" s="257">
        <v>0.1237</v>
      </c>
      <c r="D11" s="257">
        <v>0.13066</v>
      </c>
      <c r="E11" s="257">
        <v>0.14166000000000001</v>
      </c>
      <c r="F11" s="257">
        <v>0.13804</v>
      </c>
      <c r="G11" s="257">
        <v>0.12915000000000001</v>
      </c>
      <c r="H11" s="257">
        <v>0.121</v>
      </c>
      <c r="I11" s="257">
        <v>0.14673</v>
      </c>
      <c r="J11" s="257">
        <v>0.13855999999999999</v>
      </c>
      <c r="K11" s="257">
        <v>0.13084999999999999</v>
      </c>
      <c r="L11" s="5">
        <v>44727</v>
      </c>
      <c r="M11" s="4">
        <v>2.9700000000000001E-2</v>
      </c>
      <c r="N11" s="260">
        <v>0.11141999999999999</v>
      </c>
    </row>
    <row r="12" spans="1:14" hidden="1" x14ac:dyDescent="0.3">
      <c r="A12" s="259">
        <v>44755</v>
      </c>
      <c r="B12" s="257">
        <v>0.13908000000000001</v>
      </c>
      <c r="C12" s="257">
        <v>0.12266000000000001</v>
      </c>
      <c r="D12" s="257">
        <v>0.12609999999999999</v>
      </c>
      <c r="E12" s="257">
        <v>0.13825000000000001</v>
      </c>
      <c r="F12" s="257">
        <v>0.13631000000000001</v>
      </c>
      <c r="G12" s="257">
        <v>0.13167999999999999</v>
      </c>
      <c r="H12" s="257">
        <v>0.12286</v>
      </c>
      <c r="I12" s="257">
        <v>0.14574000000000001</v>
      </c>
      <c r="J12" s="257">
        <v>0.13836000000000001</v>
      </c>
      <c r="K12" s="257">
        <v>0.13378999999999999</v>
      </c>
      <c r="L12" s="5">
        <v>44755</v>
      </c>
      <c r="M12" s="4">
        <v>2.92E-2</v>
      </c>
      <c r="N12" s="260">
        <v>0.10988000000000001</v>
      </c>
    </row>
    <row r="13" spans="1:14" hidden="1" x14ac:dyDescent="0.3">
      <c r="A13" s="259">
        <v>44790</v>
      </c>
      <c r="B13" s="257">
        <v>0.12787999999999999</v>
      </c>
      <c r="C13" s="257">
        <v>0.1129</v>
      </c>
      <c r="D13" s="257">
        <v>0.11683</v>
      </c>
      <c r="E13" s="257">
        <v>0.12667999999999999</v>
      </c>
      <c r="F13" s="257">
        <v>0.12486</v>
      </c>
      <c r="G13" s="257">
        <v>0.11971</v>
      </c>
      <c r="H13" s="257">
        <v>0.11187</v>
      </c>
      <c r="I13" s="257">
        <v>0.13355</v>
      </c>
      <c r="J13" s="257">
        <v>0.12705</v>
      </c>
      <c r="K13" s="257">
        <v>0.12228</v>
      </c>
      <c r="L13" s="5">
        <v>44790</v>
      </c>
      <c r="M13" s="4">
        <v>3.2500000000000001E-2</v>
      </c>
      <c r="N13" s="260">
        <v>9.5379999999999993E-2</v>
      </c>
    </row>
    <row r="14" spans="1:14" hidden="1" x14ac:dyDescent="0.3">
      <c r="A14" s="259">
        <v>44818</v>
      </c>
      <c r="B14" s="257">
        <v>0.13969999999999999</v>
      </c>
      <c r="C14" s="257">
        <v>0.12553</v>
      </c>
      <c r="D14" s="257">
        <v>0.12639</v>
      </c>
      <c r="E14" s="257">
        <v>0.13865</v>
      </c>
      <c r="F14" s="257">
        <v>0.13484000000000002</v>
      </c>
      <c r="G14" s="257">
        <v>0.13200999999999999</v>
      </c>
      <c r="H14" s="257">
        <v>0.12307</v>
      </c>
      <c r="I14" s="257">
        <v>0.14568</v>
      </c>
      <c r="J14" s="257">
        <v>0.13750000000000001</v>
      </c>
      <c r="K14" s="257">
        <v>0.13519</v>
      </c>
      <c r="L14" s="5">
        <v>44818</v>
      </c>
      <c r="M14" s="4">
        <v>3.8399999999999997E-2</v>
      </c>
      <c r="N14" s="260">
        <v>0.1013</v>
      </c>
    </row>
    <row r="15" spans="1:14" hidden="1" x14ac:dyDescent="0.3">
      <c r="A15" s="259">
        <v>44847</v>
      </c>
      <c r="B15" s="257">
        <v>0.15722</v>
      </c>
      <c r="C15" s="257">
        <v>0.1404</v>
      </c>
      <c r="D15" s="257">
        <v>0.14338000000000001</v>
      </c>
      <c r="E15" s="257">
        <v>0.15589</v>
      </c>
      <c r="F15" s="257">
        <v>0.15346000000000001</v>
      </c>
      <c r="G15" s="257">
        <v>0.14928</v>
      </c>
      <c r="H15" s="257">
        <v>0.13780000000000001</v>
      </c>
      <c r="I15" s="257">
        <v>0.16461999999999999</v>
      </c>
      <c r="J15" s="257">
        <v>0.15542</v>
      </c>
      <c r="K15" s="257">
        <v>0.15132999999999999</v>
      </c>
      <c r="L15" s="5">
        <v>44847</v>
      </c>
      <c r="M15" s="4">
        <v>4.2300000000000004E-2</v>
      </c>
      <c r="N15" s="260">
        <v>0.11491999999999999</v>
      </c>
    </row>
    <row r="16" spans="1:14" hidden="1" x14ac:dyDescent="0.3">
      <c r="A16" s="259">
        <v>44881</v>
      </c>
      <c r="B16" s="257">
        <v>0.14207</v>
      </c>
      <c r="C16" s="257">
        <v>0.12916</v>
      </c>
      <c r="D16" s="257">
        <v>0.13367999999999999</v>
      </c>
      <c r="E16" s="257">
        <v>0.14016999999999999</v>
      </c>
      <c r="F16" s="257">
        <v>0.13722999999999999</v>
      </c>
      <c r="G16" s="257">
        <v>0.13145000000000001</v>
      </c>
      <c r="H16" s="257">
        <v>0.12438</v>
      </c>
      <c r="I16" s="257">
        <v>0.14491999999999999</v>
      </c>
      <c r="J16" s="257">
        <v>0.14013</v>
      </c>
      <c r="K16" s="257">
        <v>0.13550000000000001</v>
      </c>
      <c r="L16" s="5">
        <v>44881</v>
      </c>
      <c r="M16" s="4">
        <v>4.7100000000000003E-2</v>
      </c>
      <c r="N16" s="260">
        <v>9.4969999999999999E-2</v>
      </c>
    </row>
    <row r="17" spans="1:14" hidden="1" x14ac:dyDescent="0.3">
      <c r="A17" s="259">
        <v>44910</v>
      </c>
      <c r="B17" s="257">
        <v>0.14093</v>
      </c>
      <c r="C17" s="257">
        <v>0.12670999999999999</v>
      </c>
      <c r="D17" s="257">
        <v>0.13112000000000001</v>
      </c>
      <c r="E17" s="257">
        <v>0.13991999999999999</v>
      </c>
      <c r="F17" s="257">
        <v>0.13891000000000001</v>
      </c>
      <c r="G17" s="257">
        <v>0.13385</v>
      </c>
      <c r="H17" s="257">
        <v>0.12609999999999999</v>
      </c>
      <c r="I17" s="257">
        <v>0.14710000000000001</v>
      </c>
      <c r="J17" s="257">
        <v>0.14058000000000001</v>
      </c>
      <c r="K17" s="257">
        <v>0.1368</v>
      </c>
      <c r="L17" s="5">
        <v>44910</v>
      </c>
      <c r="M17" s="4">
        <v>4.58E-2</v>
      </c>
      <c r="N17" s="260">
        <v>9.5129999999999992E-2</v>
      </c>
    </row>
    <row r="18" spans="1:14" hidden="1" x14ac:dyDescent="0.3">
      <c r="A18" s="259">
        <v>44943</v>
      </c>
      <c r="B18" s="257">
        <v>0.12706000000000001</v>
      </c>
      <c r="C18" s="257">
        <v>0.11374000000000001</v>
      </c>
      <c r="D18" s="257">
        <v>0.11929000000000001</v>
      </c>
      <c r="E18" s="257">
        <v>0.12703999999999999</v>
      </c>
      <c r="F18" s="257">
        <v>0.12494</v>
      </c>
      <c r="G18" s="257">
        <v>0.11984</v>
      </c>
      <c r="H18" s="257">
        <v>0.11170000000000001</v>
      </c>
      <c r="I18" s="257">
        <v>0.13184999999999999</v>
      </c>
      <c r="J18" s="257">
        <v>0.12639999999999998</v>
      </c>
      <c r="K18" s="257">
        <v>0.12102</v>
      </c>
      <c r="L18" s="5">
        <v>44943</v>
      </c>
      <c r="M18" s="4">
        <v>4.7E-2</v>
      </c>
      <c r="N18" s="260">
        <v>8.0060000000000006E-2</v>
      </c>
    </row>
    <row r="19" spans="1:14" hidden="1" x14ac:dyDescent="0.3">
      <c r="A19" s="259">
        <v>44974</v>
      </c>
      <c r="B19" s="257">
        <v>0.12133000000000001</v>
      </c>
      <c r="C19" s="257">
        <v>0.10887000000000001</v>
      </c>
      <c r="D19" s="257">
        <v>0.11354</v>
      </c>
      <c r="E19" s="257">
        <v>0.12154000000000001</v>
      </c>
      <c r="F19" s="257">
        <v>0.1205</v>
      </c>
      <c r="G19" s="257">
        <v>0.11699</v>
      </c>
      <c r="H19" s="257">
        <v>0.10905000000000001</v>
      </c>
      <c r="I19" s="257">
        <v>0.12726999999999999</v>
      </c>
      <c r="J19" s="257">
        <v>0.12222</v>
      </c>
      <c r="K19" s="257">
        <v>0.11849</v>
      </c>
      <c r="L19" s="5">
        <v>44974</v>
      </c>
      <c r="M19" s="4">
        <v>4.99E-2</v>
      </c>
      <c r="N19" s="260">
        <v>7.1430000000000007E-2</v>
      </c>
    </row>
    <row r="20" spans="1:14" hidden="1" x14ac:dyDescent="0.3">
      <c r="A20" s="259">
        <v>45005</v>
      </c>
      <c r="B20" s="257">
        <v>0.13187000000000001</v>
      </c>
      <c r="C20" s="257">
        <v>0.12005</v>
      </c>
      <c r="D20" s="257">
        <v>0.12062</v>
      </c>
      <c r="E20" s="257">
        <v>0.13048000000000001</v>
      </c>
      <c r="F20" s="257">
        <v>0.13092000000000001</v>
      </c>
      <c r="G20" s="257">
        <v>0.12972</v>
      </c>
      <c r="H20" s="257">
        <v>0.12099</v>
      </c>
      <c r="I20" s="257">
        <v>0.13979</v>
      </c>
      <c r="J20" s="257">
        <v>0.13358</v>
      </c>
      <c r="K20" s="257">
        <v>0.13176000000000002</v>
      </c>
      <c r="L20" s="5">
        <v>45005</v>
      </c>
      <c r="M20" s="4">
        <v>4.2599999999999999E-2</v>
      </c>
      <c r="N20" s="260">
        <v>8.9270000000000016E-2</v>
      </c>
    </row>
    <row r="21" spans="1:14" hidden="1" x14ac:dyDescent="0.3">
      <c r="A21" s="259">
        <v>45028</v>
      </c>
      <c r="B21" s="257">
        <v>0.12617</v>
      </c>
      <c r="C21" s="257">
        <v>0.11436</v>
      </c>
      <c r="D21" s="257">
        <v>0.11750000000000001</v>
      </c>
      <c r="E21" s="257">
        <v>0.12597</v>
      </c>
      <c r="F21" s="257">
        <v>0.12272</v>
      </c>
      <c r="G21" s="257">
        <v>0.12035</v>
      </c>
      <c r="H21" s="257">
        <v>0.11128</v>
      </c>
      <c r="I21" s="257">
        <v>0.13053000000000001</v>
      </c>
      <c r="J21" s="257">
        <v>0.12472</v>
      </c>
      <c r="K21" s="257">
        <v>0.12197000000000001</v>
      </c>
      <c r="L21" s="5">
        <v>45028</v>
      </c>
      <c r="M21" s="4">
        <v>4.6399999999999997E-2</v>
      </c>
      <c r="N21" s="260">
        <v>7.9770000000000008E-2</v>
      </c>
    </row>
    <row r="22" spans="1:14" hidden="1" x14ac:dyDescent="0.3">
      <c r="A22" s="259">
        <v>45062</v>
      </c>
      <c r="B22" s="257">
        <v>0.12268</v>
      </c>
      <c r="C22" s="257">
        <v>0.11246</v>
      </c>
      <c r="D22" s="257">
        <v>0.11488</v>
      </c>
      <c r="E22" s="257">
        <v>0.12221</v>
      </c>
      <c r="F22" s="257">
        <v>0.12137000000000001</v>
      </c>
      <c r="G22" s="257">
        <v>0.11958000000000001</v>
      </c>
      <c r="H22" s="257">
        <v>0.11151</v>
      </c>
      <c r="I22" s="257">
        <v>0.12837999999999999</v>
      </c>
      <c r="J22" s="257">
        <v>0.12368</v>
      </c>
      <c r="K22" s="257">
        <v>0.12134</v>
      </c>
      <c r="L22" s="5">
        <v>45062</v>
      </c>
      <c r="M22" s="4">
        <v>4.7500000000000001E-2</v>
      </c>
      <c r="N22" s="260">
        <v>7.5179999999999997E-2</v>
      </c>
    </row>
    <row r="23" spans="1:14" hidden="1" x14ac:dyDescent="0.3">
      <c r="A23" s="259">
        <v>45092</v>
      </c>
      <c r="B23" s="257">
        <v>0.11618000000000001</v>
      </c>
      <c r="C23" s="257">
        <v>0.10665000000000001</v>
      </c>
      <c r="D23" s="257">
        <v>0.10768</v>
      </c>
      <c r="E23" s="257">
        <v>0.11588</v>
      </c>
      <c r="F23" s="257">
        <v>0.11527</v>
      </c>
      <c r="G23" s="257">
        <v>0.11458</v>
      </c>
      <c r="H23" s="257">
        <v>0.10502</v>
      </c>
      <c r="I23" s="257">
        <v>0.12224</v>
      </c>
      <c r="J23" s="257">
        <v>0.11663</v>
      </c>
      <c r="K23" s="257">
        <v>0.11560000000000001</v>
      </c>
      <c r="L23" s="5">
        <v>45092</v>
      </c>
      <c r="M23" s="4">
        <v>5.2400000000000002E-2</v>
      </c>
      <c r="N23" s="260">
        <v>6.3780000000000003E-2</v>
      </c>
    </row>
    <row r="24" spans="1:14" hidden="1" x14ac:dyDescent="0.3">
      <c r="A24" s="259">
        <v>45125</v>
      </c>
      <c r="B24" s="257">
        <v>0.11148</v>
      </c>
      <c r="C24" s="257">
        <v>0.10397000000000001</v>
      </c>
      <c r="D24" s="257">
        <v>0.10284</v>
      </c>
      <c r="E24" s="257">
        <v>0.11054</v>
      </c>
      <c r="F24" s="257">
        <v>0.10966000000000001</v>
      </c>
      <c r="G24" s="257">
        <v>0.11092</v>
      </c>
      <c r="H24" s="257">
        <v>0.10284</v>
      </c>
      <c r="I24" s="257">
        <v>0.11688</v>
      </c>
      <c r="J24" s="257">
        <v>0.11216</v>
      </c>
      <c r="K24" s="257">
        <v>0.11279</v>
      </c>
      <c r="L24" s="5">
        <v>45125</v>
      </c>
      <c r="M24" s="4">
        <v>5.3099999999999994E-2</v>
      </c>
      <c r="N24" s="260">
        <v>5.8380000000000001E-2</v>
      </c>
    </row>
    <row r="25" spans="1:14" hidden="1" x14ac:dyDescent="0.3">
      <c r="A25" s="259">
        <v>45162</v>
      </c>
      <c r="B25" s="257">
        <v>0.12055</v>
      </c>
      <c r="C25" s="257">
        <v>0.11037</v>
      </c>
      <c r="D25" s="257">
        <v>0.11295000000000001</v>
      </c>
      <c r="E25" s="257">
        <v>0.11992</v>
      </c>
      <c r="F25" s="257">
        <v>0.12225</v>
      </c>
      <c r="G25" s="257">
        <v>0.11992</v>
      </c>
      <c r="H25" s="257">
        <v>0.11255</v>
      </c>
      <c r="I25" s="257">
        <v>0.12859999999999999</v>
      </c>
      <c r="J25" s="257">
        <v>0.12426</v>
      </c>
      <c r="K25" s="257">
        <v>0.12182</v>
      </c>
      <c r="L25" s="5">
        <v>45162</v>
      </c>
      <c r="M25" s="4">
        <v>5.3800000000000001E-2</v>
      </c>
      <c r="N25" s="260">
        <v>6.6750000000000004E-2</v>
      </c>
    </row>
    <row r="26" spans="1:14" hidden="1" x14ac:dyDescent="0.3">
      <c r="A26" s="259">
        <v>45188</v>
      </c>
      <c r="B26" s="257">
        <v>0.11679</v>
      </c>
      <c r="C26" s="257">
        <v>0.10680000000000001</v>
      </c>
      <c r="D26" s="257">
        <v>0.1091</v>
      </c>
      <c r="E26" s="257">
        <v>0.11638</v>
      </c>
      <c r="F26" s="257">
        <v>0.11902</v>
      </c>
      <c r="G26" s="257">
        <v>0.11687</v>
      </c>
      <c r="H26" s="257">
        <v>0.10886</v>
      </c>
      <c r="I26" s="257">
        <v>0.12520999999999999</v>
      </c>
      <c r="J26" s="257">
        <v>0.12051000000000001</v>
      </c>
      <c r="K26" s="257">
        <v>0.11843000000000001</v>
      </c>
      <c r="L26" s="5">
        <v>45188</v>
      </c>
      <c r="M26" s="4">
        <v>5.4400000000000004E-2</v>
      </c>
      <c r="N26" s="260">
        <v>6.2390000000000001E-2</v>
      </c>
    </row>
    <row r="27" spans="1:14" hidden="1" x14ac:dyDescent="0.3">
      <c r="A27" s="259">
        <v>45222</v>
      </c>
      <c r="B27" s="257">
        <v>0.12430000000000001</v>
      </c>
      <c r="C27" s="257">
        <v>0.11308</v>
      </c>
      <c r="D27" s="257">
        <v>0.11751</v>
      </c>
      <c r="E27" s="257">
        <v>0.12304</v>
      </c>
      <c r="F27" s="257">
        <v>0.12489</v>
      </c>
      <c r="G27" s="257">
        <v>0.12228</v>
      </c>
      <c r="H27" s="257">
        <v>0.11492000000000001</v>
      </c>
      <c r="I27" s="257">
        <v>0.13084000000000001</v>
      </c>
      <c r="J27" s="257">
        <v>0.12723999999999999</v>
      </c>
      <c r="K27" s="257">
        <v>0.12380000000000001</v>
      </c>
      <c r="L27" s="5">
        <v>45222</v>
      </c>
      <c r="M27" s="4">
        <v>5.4100000000000002E-2</v>
      </c>
      <c r="N27" s="260">
        <v>7.0200000000000012E-2</v>
      </c>
    </row>
    <row r="28" spans="1:14" hidden="1" x14ac:dyDescent="0.3">
      <c r="A28" s="259">
        <v>45245</v>
      </c>
      <c r="B28" s="257">
        <v>0.11030000000000001</v>
      </c>
      <c r="C28" s="257">
        <v>0.10128000000000001</v>
      </c>
      <c r="D28" s="257">
        <v>0.10292</v>
      </c>
      <c r="E28" s="257">
        <v>0.10938000000000001</v>
      </c>
      <c r="F28" s="257">
        <v>0.11061</v>
      </c>
      <c r="G28" s="257">
        <v>0.11035</v>
      </c>
      <c r="H28" s="257">
        <v>0.10256</v>
      </c>
      <c r="I28" s="257">
        <v>0.11700000000000001</v>
      </c>
      <c r="J28" s="257">
        <v>0.11261</v>
      </c>
      <c r="K28" s="257">
        <v>0.11188000000000001</v>
      </c>
      <c r="L28" s="5">
        <v>45245</v>
      </c>
      <c r="M28" s="4">
        <v>5.2699999999999997E-2</v>
      </c>
      <c r="N28" s="260">
        <v>5.7600000000000012E-2</v>
      </c>
    </row>
    <row r="29" spans="1:14" hidden="1" x14ac:dyDescent="0.3">
      <c r="A29" s="259">
        <v>45280</v>
      </c>
      <c r="B29" s="257">
        <v>0.11227000000000001</v>
      </c>
      <c r="C29" s="257">
        <v>0.10414</v>
      </c>
      <c r="D29" s="257">
        <v>0.1007</v>
      </c>
      <c r="E29" s="257">
        <v>0.1115</v>
      </c>
      <c r="F29" s="257">
        <v>0.10821</v>
      </c>
      <c r="G29" s="257">
        <v>0.11045000000000001</v>
      </c>
      <c r="H29" s="257">
        <v>0.1018</v>
      </c>
      <c r="I29" s="257">
        <v>0.11791</v>
      </c>
      <c r="J29" s="257">
        <v>0.10995000000000001</v>
      </c>
      <c r="K29" s="257">
        <v>0.11296</v>
      </c>
      <c r="L29" s="5">
        <v>45280</v>
      </c>
      <c r="M29" s="4">
        <v>4.9100000000000005E-2</v>
      </c>
      <c r="N29" s="260">
        <v>6.3170000000000004E-2</v>
      </c>
    </row>
    <row r="30" spans="1:14" hidden="1" x14ac:dyDescent="0.3">
      <c r="A30" s="259">
        <v>45317</v>
      </c>
      <c r="B30" s="257">
        <v>0.1103</v>
      </c>
      <c r="C30" s="257">
        <v>0.10100000000000001</v>
      </c>
      <c r="D30" s="257">
        <v>9.6699999999999994E-2</v>
      </c>
      <c r="E30" s="257">
        <v>0.1099</v>
      </c>
      <c r="F30" s="257">
        <v>0.1066</v>
      </c>
      <c r="G30" s="257">
        <v>0.1085</v>
      </c>
      <c r="H30" s="257">
        <v>0.10009999999999999</v>
      </c>
      <c r="I30" s="257">
        <v>0.1158</v>
      </c>
      <c r="J30" s="257">
        <v>0.1085</v>
      </c>
      <c r="K30" s="257">
        <v>0.1115</v>
      </c>
      <c r="L30" s="5">
        <v>45317</v>
      </c>
      <c r="M30" s="4">
        <v>4.7800000000000002E-2</v>
      </c>
      <c r="N30" s="260">
        <v>6.2499999999999993E-2</v>
      </c>
    </row>
    <row r="31" spans="1:14" hidden="1" x14ac:dyDescent="0.3">
      <c r="A31" s="259">
        <v>45348</v>
      </c>
      <c r="B31" s="257">
        <v>0.11070000000000001</v>
      </c>
      <c r="C31" s="257">
        <v>0.1021</v>
      </c>
      <c r="D31" s="257">
        <v>9.3600000000000003E-2</v>
      </c>
      <c r="E31" s="257">
        <v>0.11070000000000001</v>
      </c>
      <c r="F31" s="257">
        <v>0.1022</v>
      </c>
      <c r="G31" s="257">
        <v>0.1084</v>
      </c>
      <c r="H31" s="257">
        <v>9.2700000000000005E-2</v>
      </c>
      <c r="I31" s="257">
        <v>0.1158</v>
      </c>
      <c r="J31" s="257">
        <v>0.1032</v>
      </c>
      <c r="K31" s="257">
        <v>0.1099</v>
      </c>
      <c r="L31" s="5">
        <v>45348</v>
      </c>
      <c r="M31" s="4">
        <v>5.0300000000000004E-2</v>
      </c>
      <c r="N31" s="260">
        <v>6.0400000000000002E-2</v>
      </c>
    </row>
    <row r="32" spans="1:14" hidden="1" x14ac:dyDescent="0.3">
      <c r="A32" s="259">
        <v>45352</v>
      </c>
      <c r="B32" s="257">
        <v>0.1091</v>
      </c>
      <c r="C32" s="257">
        <v>0.1008</v>
      </c>
      <c r="D32" s="257">
        <v>9.2600000000000002E-2</v>
      </c>
      <c r="E32" s="257">
        <v>0.109</v>
      </c>
      <c r="F32" s="257">
        <v>0.10150000000000001</v>
      </c>
      <c r="G32" s="257">
        <v>0.1075</v>
      </c>
      <c r="H32" s="257">
        <v>9.2399999999999996E-2</v>
      </c>
      <c r="I32" s="257">
        <v>0.1149</v>
      </c>
      <c r="J32" s="257">
        <v>0.1024</v>
      </c>
      <c r="K32" s="257">
        <v>0.1085</v>
      </c>
      <c r="L32" s="5">
        <v>45352</v>
      </c>
      <c r="M32" s="4">
        <v>5.0099999999999999E-2</v>
      </c>
      <c r="N32" s="260">
        <v>5.9000000000000004E-2</v>
      </c>
    </row>
    <row r="33" spans="1:14" hidden="1" x14ac:dyDescent="0.3">
      <c r="A33" s="259">
        <v>45359</v>
      </c>
      <c r="B33" s="257">
        <v>0.11210000000000001</v>
      </c>
      <c r="C33" s="257">
        <v>0.1019</v>
      </c>
      <c r="D33" s="257">
        <v>9.8699999999999996E-2</v>
      </c>
      <c r="E33" s="257">
        <v>0.1115</v>
      </c>
      <c r="F33" s="257">
        <v>0.1055</v>
      </c>
      <c r="G33" s="257">
        <v>0.10979999999999999</v>
      </c>
      <c r="H33" s="257">
        <v>9.5600000000000004E-2</v>
      </c>
      <c r="I33" s="257">
        <v>0.1174</v>
      </c>
      <c r="J33" s="257">
        <v>0.10489999999999999</v>
      </c>
      <c r="K33" s="257">
        <v>0.1105</v>
      </c>
      <c r="L33" s="5">
        <v>45359</v>
      </c>
      <c r="M33" s="4">
        <v>4.9480000000000003E-2</v>
      </c>
      <c r="N33" s="260">
        <v>6.2620000000000009E-2</v>
      </c>
    </row>
    <row r="34" spans="1:14" hidden="1" x14ac:dyDescent="0.3">
      <c r="A34" s="259">
        <v>45366</v>
      </c>
      <c r="B34" s="257">
        <v>0.1113</v>
      </c>
      <c r="C34" s="257">
        <v>0.10009999999999999</v>
      </c>
      <c r="D34" s="257">
        <v>9.7799999999999998E-2</v>
      </c>
      <c r="E34" s="257">
        <v>0.1109</v>
      </c>
      <c r="F34" s="257">
        <v>0.1038</v>
      </c>
      <c r="G34" s="257">
        <v>0.1074</v>
      </c>
      <c r="H34" s="257">
        <v>9.3399999999999997E-2</v>
      </c>
      <c r="I34" s="257">
        <v>0.1153</v>
      </c>
      <c r="J34" s="257">
        <v>0.1031</v>
      </c>
      <c r="K34" s="257">
        <v>0.1087</v>
      </c>
      <c r="L34" s="5">
        <v>45366</v>
      </c>
      <c r="M34" s="4">
        <v>5.0499999999999996E-2</v>
      </c>
      <c r="N34" s="260">
        <v>6.08E-2</v>
      </c>
    </row>
    <row r="35" spans="1:14" hidden="1" x14ac:dyDescent="0.3">
      <c r="A35" s="259">
        <v>45373</v>
      </c>
      <c r="B35" s="257">
        <v>0.1089</v>
      </c>
      <c r="C35" s="257">
        <v>9.8299999999999998E-2</v>
      </c>
      <c r="D35" s="257">
        <v>9.5799999999999996E-2</v>
      </c>
      <c r="E35" s="257">
        <v>0.1086</v>
      </c>
      <c r="F35" s="257">
        <v>0.1014</v>
      </c>
      <c r="G35" s="257">
        <v>0.1056</v>
      </c>
      <c r="H35" s="257">
        <v>9.0999999999999998E-2</v>
      </c>
      <c r="I35" s="257">
        <v>0.1124</v>
      </c>
      <c r="J35" s="257">
        <v>0.1011</v>
      </c>
      <c r="K35" s="257">
        <v>0.1065</v>
      </c>
      <c r="L35" s="5">
        <v>45373</v>
      </c>
      <c r="M35" s="4">
        <v>4.9800000000000004E-2</v>
      </c>
      <c r="N35" s="260">
        <v>5.9099999999999993E-2</v>
      </c>
    </row>
    <row r="36" spans="1:14" hidden="1" x14ac:dyDescent="0.3">
      <c r="A36" s="259">
        <v>45387</v>
      </c>
      <c r="B36" s="257">
        <v>0.10970000000000001</v>
      </c>
      <c r="C36" s="257">
        <v>0.1003</v>
      </c>
      <c r="D36" s="257">
        <v>9.6299999999999997E-2</v>
      </c>
      <c r="E36" s="257">
        <v>0.1089</v>
      </c>
      <c r="F36" s="257">
        <v>0.1021</v>
      </c>
      <c r="G36" s="257">
        <v>0.1066</v>
      </c>
      <c r="H36" s="257">
        <v>9.2399999999999996E-2</v>
      </c>
      <c r="I36" s="257">
        <v>0.1135</v>
      </c>
      <c r="J36" s="257">
        <v>0.10349999999999999</v>
      </c>
      <c r="K36" s="257">
        <v>0.1086</v>
      </c>
      <c r="L36" s="5">
        <v>45387</v>
      </c>
      <c r="M36" s="4">
        <v>5.0799999999999998E-2</v>
      </c>
      <c r="N36" s="260">
        <v>5.8900000000000008E-2</v>
      </c>
    </row>
    <row r="37" spans="1:14" hidden="1" x14ac:dyDescent="0.3">
      <c r="A37" s="259">
        <v>45394</v>
      </c>
      <c r="B37" s="257">
        <v>0.1162</v>
      </c>
      <c r="C37" s="257">
        <v>0.1062</v>
      </c>
      <c r="D37" s="257">
        <v>0.10249999999999999</v>
      </c>
      <c r="E37" s="257">
        <v>0.11559999999999999</v>
      </c>
      <c r="F37" s="257">
        <v>0.1086</v>
      </c>
      <c r="G37" s="257">
        <v>0.1124</v>
      </c>
      <c r="H37" s="257">
        <v>9.8500000000000004E-2</v>
      </c>
      <c r="I37" s="257">
        <v>0.1171</v>
      </c>
      <c r="J37" s="257">
        <v>0.1085</v>
      </c>
      <c r="K37" s="257">
        <v>0.11219999999999999</v>
      </c>
      <c r="L37" s="5">
        <v>45394</v>
      </c>
      <c r="M37" s="4">
        <v>5.1900000000000002E-2</v>
      </c>
      <c r="N37" s="260">
        <v>6.4299999999999996E-2</v>
      </c>
    </row>
    <row r="38" spans="1:14" hidden="1" x14ac:dyDescent="0.3">
      <c r="A38" s="259">
        <v>45401</v>
      </c>
      <c r="B38" s="257">
        <v>0.1188</v>
      </c>
      <c r="C38" s="257">
        <v>0.1071</v>
      </c>
      <c r="D38" s="257">
        <v>0.1069</v>
      </c>
      <c r="E38" s="257">
        <v>0.11799999999999999</v>
      </c>
      <c r="F38" s="257">
        <v>0.1123</v>
      </c>
      <c r="G38" s="257">
        <v>0.11559999999999999</v>
      </c>
      <c r="H38" s="257">
        <v>0.1024</v>
      </c>
      <c r="I38" s="257">
        <v>0.1208</v>
      </c>
      <c r="J38" s="257">
        <v>0.11169999999999999</v>
      </c>
      <c r="K38" s="257">
        <v>0.1158</v>
      </c>
      <c r="L38" s="5">
        <v>45401</v>
      </c>
      <c r="M38" s="4">
        <v>5.16E-2</v>
      </c>
      <c r="N38" s="260">
        <v>6.720000000000001E-2</v>
      </c>
    </row>
    <row r="39" spans="1:14" hidden="1" x14ac:dyDescent="0.3">
      <c r="A39" s="259">
        <v>45408</v>
      </c>
      <c r="B39" s="257">
        <v>0.1108</v>
      </c>
      <c r="C39" s="257">
        <v>0.1009</v>
      </c>
      <c r="D39" s="257">
        <v>9.7900000000000001E-2</v>
      </c>
      <c r="E39" s="257">
        <v>0.11020000000000001</v>
      </c>
      <c r="F39" s="257">
        <v>0.10440000000000001</v>
      </c>
      <c r="G39" s="257">
        <v>0.1101</v>
      </c>
      <c r="H39" s="257">
        <v>9.8400000000000001E-2</v>
      </c>
      <c r="I39" s="257">
        <v>0.11650000000000001</v>
      </c>
      <c r="J39" s="257">
        <v>0.1077</v>
      </c>
      <c r="K39" s="257">
        <v>0.1124</v>
      </c>
      <c r="L39" s="5">
        <v>45408</v>
      </c>
      <c r="M39" s="4">
        <v>5.1950000000000003E-2</v>
      </c>
      <c r="N39" s="260">
        <v>5.8849999999999993E-2</v>
      </c>
    </row>
    <row r="40" spans="1:14" hidden="1" x14ac:dyDescent="0.3">
      <c r="A40" s="259">
        <v>45415</v>
      </c>
      <c r="B40" s="257">
        <v>0.1076</v>
      </c>
      <c r="C40" s="257">
        <v>9.8599999999999993E-2</v>
      </c>
      <c r="D40" s="257">
        <v>9.5200000000000007E-2</v>
      </c>
      <c r="E40" s="257">
        <v>0.1074</v>
      </c>
      <c r="F40" s="257">
        <v>0.1022</v>
      </c>
      <c r="G40" s="257">
        <v>0.1085</v>
      </c>
      <c r="H40" s="257">
        <v>9.5500000000000002E-2</v>
      </c>
      <c r="I40" s="257">
        <v>0.11409999999999999</v>
      </c>
      <c r="J40" s="257">
        <v>0.1052</v>
      </c>
      <c r="K40" s="257">
        <v>0.10979999999999999</v>
      </c>
      <c r="L40" s="5">
        <v>45415</v>
      </c>
      <c r="M40" s="4">
        <v>5.1139999999999998E-2</v>
      </c>
      <c r="N40" s="260">
        <v>5.6460000000000003E-2</v>
      </c>
    </row>
    <row r="41" spans="1:14" hidden="1" x14ac:dyDescent="0.3">
      <c r="A41" s="259">
        <v>45432</v>
      </c>
      <c r="B41" s="257">
        <v>0.1047</v>
      </c>
      <c r="C41" s="257">
        <v>9.6600000000000005E-2</v>
      </c>
      <c r="D41" s="257">
        <v>9.0399999999999994E-2</v>
      </c>
      <c r="E41" s="257">
        <v>0.1043</v>
      </c>
      <c r="F41" s="257">
        <v>9.98E-2</v>
      </c>
      <c r="G41" s="257">
        <v>0.1066</v>
      </c>
      <c r="H41" s="257">
        <v>9.35E-2</v>
      </c>
      <c r="I41" s="257">
        <v>0.111</v>
      </c>
      <c r="J41" s="257">
        <v>0.1031</v>
      </c>
      <c r="K41" s="257">
        <v>0.1071</v>
      </c>
      <c r="L41" s="5">
        <v>45432</v>
      </c>
      <c r="M41" s="4">
        <v>5.1499999999999997E-2</v>
      </c>
      <c r="N41" s="260">
        <v>5.3200000000000004E-2</v>
      </c>
    </row>
    <row r="42" spans="1:14" hidden="1" x14ac:dyDescent="0.3">
      <c r="A42" s="259">
        <v>45453</v>
      </c>
      <c r="B42" s="257">
        <v>0.1072</v>
      </c>
      <c r="C42" s="257">
        <v>9.8100000000000007E-2</v>
      </c>
      <c r="D42" s="257">
        <v>9.3299999999999994E-2</v>
      </c>
      <c r="E42" s="257">
        <v>0.10680000000000001</v>
      </c>
      <c r="F42" s="257">
        <v>0.1012</v>
      </c>
      <c r="G42" s="257">
        <v>0.1074</v>
      </c>
      <c r="H42" s="257">
        <v>9.4799999999999995E-2</v>
      </c>
      <c r="I42" s="257">
        <v>0.11219999999999999</v>
      </c>
      <c r="J42" s="257">
        <v>0.1052</v>
      </c>
      <c r="K42" s="257">
        <v>0.1086</v>
      </c>
      <c r="L42" s="5">
        <v>45453</v>
      </c>
      <c r="M42" s="4">
        <v>5.1740000000000001E-2</v>
      </c>
      <c r="N42" s="260">
        <v>5.5460000000000002E-2</v>
      </c>
    </row>
    <row r="43" spans="1:14" hidden="1" x14ac:dyDescent="0.3">
      <c r="A43" s="259">
        <v>45460</v>
      </c>
      <c r="B43" s="257">
        <v>0.10589999999999999</v>
      </c>
      <c r="C43" s="257">
        <v>9.7799999999999998E-2</v>
      </c>
      <c r="D43" s="257">
        <v>9.0899999999999995E-2</v>
      </c>
      <c r="E43" s="257">
        <v>0.1056</v>
      </c>
      <c r="F43" s="257">
        <v>0.1008</v>
      </c>
      <c r="G43" s="257">
        <v>0.1066</v>
      </c>
      <c r="H43" s="257">
        <v>9.4299999999999995E-2</v>
      </c>
      <c r="I43" s="257">
        <v>0.1119</v>
      </c>
      <c r="J43" s="257">
        <v>0.10390000000000001</v>
      </c>
      <c r="K43" s="257">
        <v>0.1081</v>
      </c>
      <c r="L43" s="5">
        <v>45460</v>
      </c>
      <c r="M43" s="4">
        <v>5.0970000000000001E-2</v>
      </c>
      <c r="N43" s="260">
        <v>5.4929999999999993E-2</v>
      </c>
    </row>
    <row r="44" spans="1:14" hidden="1" x14ac:dyDescent="0.3">
      <c r="A44" s="259">
        <v>45467</v>
      </c>
      <c r="B44" s="257">
        <v>0.10680000000000001</v>
      </c>
      <c r="C44" s="257">
        <v>9.7199999999999995E-2</v>
      </c>
      <c r="D44" s="257">
        <v>9.3799999999999994E-2</v>
      </c>
      <c r="E44" s="257">
        <v>0.1061</v>
      </c>
      <c r="F44" s="257">
        <v>0.1028</v>
      </c>
      <c r="G44" s="257">
        <v>0.1075</v>
      </c>
      <c r="H44" s="257">
        <v>9.4600000000000004E-2</v>
      </c>
      <c r="I44" s="257">
        <v>0.1128</v>
      </c>
      <c r="J44" s="257">
        <v>0.10489999999999999</v>
      </c>
      <c r="K44" s="257">
        <v>0.10829999999999999</v>
      </c>
      <c r="L44" s="5">
        <v>45467</v>
      </c>
      <c r="M44" s="4">
        <v>5.0970000000000001E-2</v>
      </c>
      <c r="N44" s="260">
        <f>B44-M44</f>
        <v>5.5830000000000005E-2</v>
      </c>
    </row>
    <row r="45" spans="1:14" hidden="1" x14ac:dyDescent="0.3">
      <c r="A45" s="259">
        <v>45474</v>
      </c>
      <c r="B45" s="257">
        <v>0.10580000000000001</v>
      </c>
      <c r="C45" s="257">
        <v>9.6500000000000002E-2</v>
      </c>
      <c r="D45" s="257">
        <v>9.3200000000000005E-2</v>
      </c>
      <c r="E45" s="257">
        <v>0.1052</v>
      </c>
      <c r="F45" s="257">
        <v>0.1021</v>
      </c>
      <c r="G45" s="257">
        <v>0.10680000000000001</v>
      </c>
      <c r="H45" s="257">
        <v>9.3899999999999997E-2</v>
      </c>
      <c r="I45" s="257">
        <v>0.1115</v>
      </c>
      <c r="J45" s="257">
        <v>0.1043</v>
      </c>
      <c r="K45" s="257">
        <v>0.1072</v>
      </c>
      <c r="L45" s="5">
        <v>45474</v>
      </c>
      <c r="M45" s="4">
        <v>5.1189999999999999E-2</v>
      </c>
      <c r="N45" s="260">
        <f t="shared" ref="N45:N71" si="0">B45-M45</f>
        <v>5.4610000000000006E-2</v>
      </c>
    </row>
    <row r="46" spans="1:14" hidden="1" x14ac:dyDescent="0.3">
      <c r="A46" s="259">
        <v>45481</v>
      </c>
      <c r="B46" s="257">
        <v>0.10299999999999999</v>
      </c>
      <c r="C46" s="257">
        <v>9.3799999999999994E-2</v>
      </c>
      <c r="D46" s="257">
        <v>8.9700000000000002E-2</v>
      </c>
      <c r="E46" s="257">
        <v>0.10249999999999999</v>
      </c>
      <c r="F46" s="257">
        <v>0.10050000000000001</v>
      </c>
      <c r="G46" s="257">
        <v>0.1057</v>
      </c>
      <c r="H46" s="257">
        <v>9.2700000000000005E-2</v>
      </c>
      <c r="I46" s="257">
        <v>0.10970000000000001</v>
      </c>
      <c r="J46" s="257">
        <v>0.1017</v>
      </c>
      <c r="K46" s="257">
        <v>0.1048</v>
      </c>
      <c r="L46" s="5">
        <v>45481</v>
      </c>
      <c r="M46" s="4">
        <v>5.006E-2</v>
      </c>
      <c r="N46" s="260">
        <f t="shared" si="0"/>
        <v>5.2939999999999994E-2</v>
      </c>
    </row>
    <row r="47" spans="1:14" hidden="1" x14ac:dyDescent="0.3">
      <c r="A47" s="259">
        <v>45488</v>
      </c>
      <c r="B47" s="257">
        <v>0.1056</v>
      </c>
      <c r="C47" s="257">
        <v>9.5200000000000007E-2</v>
      </c>
      <c r="D47" s="257">
        <v>9.2399999999999996E-2</v>
      </c>
      <c r="E47" s="257">
        <v>0.1056</v>
      </c>
      <c r="F47" s="257">
        <v>0.10199999999999999</v>
      </c>
      <c r="G47" s="257">
        <v>0.107</v>
      </c>
      <c r="H47" s="257">
        <v>9.35E-2</v>
      </c>
      <c r="I47" s="257">
        <v>0.11070000000000001</v>
      </c>
      <c r="J47" s="257">
        <v>0.10249999999999999</v>
      </c>
      <c r="K47" s="257">
        <v>0.1055</v>
      </c>
      <c r="L47" s="5">
        <v>45488</v>
      </c>
      <c r="M47" s="4">
        <v>4.8619999999999997E-2</v>
      </c>
      <c r="N47" s="260">
        <f t="shared" si="0"/>
        <v>5.6980000000000003E-2</v>
      </c>
    </row>
    <row r="48" spans="1:14" hidden="1" x14ac:dyDescent="0.3">
      <c r="A48" s="259">
        <v>45495</v>
      </c>
      <c r="B48" s="257">
        <v>0.1128</v>
      </c>
      <c r="C48" s="257">
        <v>0.10199999999999999</v>
      </c>
      <c r="D48" s="257">
        <v>9.8000000000000004E-2</v>
      </c>
      <c r="E48" s="257">
        <v>0.1124</v>
      </c>
      <c r="F48" s="257">
        <v>0.1091</v>
      </c>
      <c r="G48" s="257">
        <v>0.114</v>
      </c>
      <c r="H48" s="257">
        <v>0.1002</v>
      </c>
      <c r="I48" s="257">
        <v>0.1171</v>
      </c>
      <c r="J48" s="257">
        <v>0.1096</v>
      </c>
      <c r="K48" s="257">
        <v>0.1123</v>
      </c>
      <c r="L48" s="5">
        <v>45495</v>
      </c>
      <c r="M48" s="4">
        <v>4.8799999999999996E-2</v>
      </c>
      <c r="N48" s="260">
        <f t="shared" si="0"/>
        <v>6.4000000000000001E-2</v>
      </c>
    </row>
    <row r="49" spans="1:33" hidden="1" x14ac:dyDescent="0.3">
      <c r="A49" s="259">
        <v>45502</v>
      </c>
      <c r="B49" s="257">
        <v>0.1171</v>
      </c>
      <c r="C49" s="257">
        <v>0.1065</v>
      </c>
      <c r="D49" s="257">
        <v>0.1021</v>
      </c>
      <c r="E49" s="257">
        <v>0.11700000000000001</v>
      </c>
      <c r="F49" s="257">
        <v>0.1111</v>
      </c>
      <c r="G49" s="257">
        <v>0.1167</v>
      </c>
      <c r="H49" s="257">
        <v>0.1032</v>
      </c>
      <c r="I49" s="257">
        <v>0.1195</v>
      </c>
      <c r="J49" s="257">
        <v>0.112</v>
      </c>
      <c r="K49" s="257">
        <v>0.1166</v>
      </c>
      <c r="L49" s="5">
        <v>45502</v>
      </c>
      <c r="M49" s="4">
        <v>4.7989999999999998E-2</v>
      </c>
      <c r="N49" s="260">
        <f t="shared" si="0"/>
        <v>6.9110000000000005E-2</v>
      </c>
    </row>
    <row r="50" spans="1:33" hidden="1" x14ac:dyDescent="0.3">
      <c r="A50" s="259">
        <v>45516</v>
      </c>
      <c r="B50" s="257">
        <v>0.11600000000000001</v>
      </c>
      <c r="C50" s="257">
        <v>0.104</v>
      </c>
      <c r="D50" s="257">
        <v>0.1016</v>
      </c>
      <c r="E50" s="257">
        <v>0.1152</v>
      </c>
      <c r="F50" s="257">
        <v>0.1105</v>
      </c>
      <c r="G50" s="257">
        <v>0.1153</v>
      </c>
      <c r="H50" s="257">
        <v>0.1027</v>
      </c>
      <c r="I50" s="257">
        <v>0.1187</v>
      </c>
      <c r="J50" s="257">
        <v>0.1114</v>
      </c>
      <c r="K50" s="257">
        <v>0.11509999999999999</v>
      </c>
      <c r="L50" s="5">
        <v>45516</v>
      </c>
      <c r="M50" s="4">
        <v>4.4900000000000002E-2</v>
      </c>
      <c r="N50" s="260">
        <f t="shared" si="0"/>
        <v>7.1099999999999997E-2</v>
      </c>
    </row>
    <row r="51" spans="1:33" hidden="1" x14ac:dyDescent="0.3">
      <c r="A51" s="259">
        <v>45523</v>
      </c>
      <c r="B51" s="257">
        <v>0.1084</v>
      </c>
      <c r="C51" s="257">
        <v>9.7600000000000006E-2</v>
      </c>
      <c r="D51" s="257">
        <v>9.4799999999999995E-2</v>
      </c>
      <c r="E51" s="257">
        <v>0.1072</v>
      </c>
      <c r="F51" s="257">
        <v>0.1036</v>
      </c>
      <c r="G51" s="257">
        <v>0.1075</v>
      </c>
      <c r="H51" s="257">
        <v>9.8799999999999999E-2</v>
      </c>
      <c r="I51" s="257">
        <v>0.1101</v>
      </c>
      <c r="J51" s="257">
        <v>0.1041</v>
      </c>
      <c r="K51" s="257">
        <v>0.1077</v>
      </c>
      <c r="L51" s="5">
        <v>45523</v>
      </c>
      <c r="M51" s="4">
        <v>4.4839999999999998E-2</v>
      </c>
      <c r="N51" s="260">
        <f t="shared" si="0"/>
        <v>6.3560000000000005E-2</v>
      </c>
    </row>
    <row r="52" spans="1:33" hidden="1" x14ac:dyDescent="0.3">
      <c r="A52" s="259">
        <v>45544</v>
      </c>
      <c r="B52" s="257">
        <v>0.11990000000000001</v>
      </c>
      <c r="C52" s="257">
        <v>0.1065</v>
      </c>
      <c r="D52" s="257">
        <v>0.1052</v>
      </c>
      <c r="E52" s="257">
        <v>0.1181</v>
      </c>
      <c r="F52" s="257">
        <v>0.1144</v>
      </c>
      <c r="G52" s="257">
        <v>0.11849999999999999</v>
      </c>
      <c r="H52" s="257">
        <v>0.10680000000000001</v>
      </c>
      <c r="I52" s="257">
        <v>0.1205</v>
      </c>
      <c r="J52" s="257">
        <v>0.1144</v>
      </c>
      <c r="K52" s="257">
        <v>0.11509999999999999</v>
      </c>
      <c r="L52" s="5">
        <v>45544</v>
      </c>
      <c r="M52" s="4">
        <v>4.1500000000000002E-2</v>
      </c>
      <c r="N52" s="260">
        <f t="shared" si="0"/>
        <v>7.8399999999999997E-2</v>
      </c>
    </row>
    <row r="53" spans="1:33" hidden="1" x14ac:dyDescent="0.3">
      <c r="A53" s="259">
        <v>45551</v>
      </c>
      <c r="B53" s="257">
        <v>0.10929999999999999</v>
      </c>
      <c r="C53" s="257">
        <v>9.7199999999999995E-2</v>
      </c>
      <c r="D53" s="257">
        <v>9.5399999999999999E-2</v>
      </c>
      <c r="E53" s="257">
        <v>0.1081</v>
      </c>
      <c r="F53" s="257">
        <v>0.10489999999999999</v>
      </c>
      <c r="G53" s="257">
        <v>0.1094</v>
      </c>
      <c r="H53" s="257">
        <v>9.9599999999999994E-2</v>
      </c>
      <c r="I53" s="257">
        <v>0.1124</v>
      </c>
      <c r="J53" s="257">
        <v>0.1066</v>
      </c>
      <c r="K53" s="257">
        <v>0.10979999999999999</v>
      </c>
      <c r="L53" s="5">
        <v>45551</v>
      </c>
      <c r="M53" s="4">
        <v>3.968E-2</v>
      </c>
      <c r="N53" s="260">
        <f t="shared" si="0"/>
        <v>6.9619999999999987E-2</v>
      </c>
    </row>
    <row r="54" spans="1:33" hidden="1" x14ac:dyDescent="0.3">
      <c r="A54" s="259">
        <v>45558</v>
      </c>
      <c r="B54" s="257">
        <v>0.10580000000000001</v>
      </c>
      <c r="C54" s="257">
        <v>9.3700000000000006E-2</v>
      </c>
      <c r="D54" s="257">
        <v>9.1900000000000009E-2</v>
      </c>
      <c r="E54" s="257">
        <v>0.10460000000000001</v>
      </c>
      <c r="F54" s="257">
        <v>0.1014</v>
      </c>
      <c r="G54" s="257">
        <v>0.10590000000000001</v>
      </c>
      <c r="H54" s="257">
        <v>9.6100000000000005E-2</v>
      </c>
      <c r="I54" s="257">
        <v>0.10890000000000001</v>
      </c>
      <c r="J54" s="257">
        <v>0.10310000000000001</v>
      </c>
      <c r="K54" s="257">
        <v>0.10630000000000001</v>
      </c>
      <c r="L54" s="5">
        <v>45558</v>
      </c>
      <c r="M54" s="4">
        <v>3.9320000000000001E-2</v>
      </c>
      <c r="N54" s="260">
        <f t="shared" si="0"/>
        <v>6.6480000000000011E-2</v>
      </c>
    </row>
    <row r="55" spans="1:33" hidden="1" x14ac:dyDescent="0.3">
      <c r="A55" s="259">
        <v>45565</v>
      </c>
      <c r="B55" s="257">
        <v>0.1048</v>
      </c>
      <c r="C55" s="257">
        <v>9.4799999999999995E-2</v>
      </c>
      <c r="D55" s="257">
        <v>0.09</v>
      </c>
      <c r="E55" s="257">
        <v>0.1032</v>
      </c>
      <c r="F55" s="257">
        <v>9.9999999999999992E-2</v>
      </c>
      <c r="G55" s="257">
        <v>0.1045</v>
      </c>
      <c r="H55" s="257">
        <v>9.4699999999999993E-2</v>
      </c>
      <c r="I55" s="257">
        <v>0.1075</v>
      </c>
      <c r="J55" s="257">
        <v>0.1017</v>
      </c>
      <c r="K55" s="257">
        <v>0.10489999999999999</v>
      </c>
      <c r="L55" s="5">
        <v>45565</v>
      </c>
      <c r="M55" s="4">
        <v>3.9800000000000002E-2</v>
      </c>
      <c r="N55" s="260">
        <f t="shared" si="0"/>
        <v>6.5000000000000002E-2</v>
      </c>
    </row>
    <row r="56" spans="1:33" hidden="1" x14ac:dyDescent="0.3">
      <c r="A56" s="259">
        <v>45572</v>
      </c>
      <c r="B56" s="257">
        <v>0.114</v>
      </c>
      <c r="C56" s="257">
        <v>0.1032</v>
      </c>
      <c r="D56" s="257">
        <v>0.1004</v>
      </c>
      <c r="E56" s="257">
        <v>0.112</v>
      </c>
      <c r="F56" s="257">
        <v>0.1105</v>
      </c>
      <c r="G56" s="257">
        <v>0.1125</v>
      </c>
      <c r="H56" s="257">
        <v>0.1023</v>
      </c>
      <c r="I56" s="257">
        <v>0.11550000000000001</v>
      </c>
      <c r="J56" s="257">
        <v>0.1101</v>
      </c>
      <c r="K56" s="257">
        <v>0.1162</v>
      </c>
      <c r="L56" s="5">
        <v>45572</v>
      </c>
      <c r="M56" s="4">
        <v>4.267E-2</v>
      </c>
      <c r="N56" s="260">
        <f t="shared" si="0"/>
        <v>7.1330000000000005E-2</v>
      </c>
    </row>
    <row r="57" spans="1:33" hidden="1" x14ac:dyDescent="0.3">
      <c r="A57" s="259">
        <v>45579</v>
      </c>
      <c r="B57" s="257">
        <v>0.11119999999999999</v>
      </c>
      <c r="C57" s="257">
        <v>0.1008</v>
      </c>
      <c r="D57" s="257">
        <v>9.7199999999999995E-2</v>
      </c>
      <c r="E57" s="257">
        <v>0.10879999999999999</v>
      </c>
      <c r="F57" s="257">
        <v>0.1075</v>
      </c>
      <c r="G57" s="257">
        <v>0.109</v>
      </c>
      <c r="H57" s="257">
        <v>0.1002</v>
      </c>
      <c r="I57" s="257">
        <v>0.1132</v>
      </c>
      <c r="J57" s="257">
        <v>0.1072</v>
      </c>
      <c r="K57" s="257">
        <v>0.1133</v>
      </c>
      <c r="L57" s="5">
        <v>45579</v>
      </c>
      <c r="M57" s="4">
        <v>4.1799999999999997E-2</v>
      </c>
      <c r="N57" s="260">
        <f t="shared" si="0"/>
        <v>6.9399999999999989E-2</v>
      </c>
      <c r="P57" s="301"/>
    </row>
    <row r="58" spans="1:33" hidden="1" x14ac:dyDescent="0.3">
      <c r="A58" s="259">
        <v>45586</v>
      </c>
      <c r="B58" s="257">
        <v>0.10920000000000001</v>
      </c>
      <c r="C58" s="257">
        <v>9.9199999999999997E-2</v>
      </c>
      <c r="D58" s="257">
        <v>9.4799999999999995E-2</v>
      </c>
      <c r="E58" s="257">
        <v>0.108</v>
      </c>
      <c r="F58" s="257">
        <v>0.1061</v>
      </c>
      <c r="G58" s="257">
        <v>0.10780000000000001</v>
      </c>
      <c r="H58" s="257">
        <v>9.7799999999999998E-2</v>
      </c>
      <c r="I58" s="257">
        <v>0.1103</v>
      </c>
      <c r="J58" s="257">
        <v>0.1055</v>
      </c>
      <c r="K58" s="257">
        <v>0.1108</v>
      </c>
      <c r="L58" s="5">
        <v>45586</v>
      </c>
      <c r="M58" s="4">
        <v>4.2000000000000003E-2</v>
      </c>
      <c r="N58" s="260">
        <f t="shared" si="0"/>
        <v>6.720000000000001E-2</v>
      </c>
    </row>
    <row r="59" spans="1:33" hidden="1" x14ac:dyDescent="0.3">
      <c r="A59" s="259">
        <v>45593</v>
      </c>
      <c r="B59" s="257">
        <v>0.1124</v>
      </c>
      <c r="C59" s="257">
        <v>0.1028</v>
      </c>
      <c r="D59" s="257">
        <v>9.8000000000000004E-2</v>
      </c>
      <c r="E59" s="257">
        <v>0.1108</v>
      </c>
      <c r="F59" s="257">
        <v>0.1096</v>
      </c>
      <c r="G59" s="257">
        <v>0.11020000000000001</v>
      </c>
      <c r="H59" s="257">
        <v>0.1</v>
      </c>
      <c r="I59" s="257">
        <v>0.1128</v>
      </c>
      <c r="J59" s="257">
        <v>0.1087</v>
      </c>
      <c r="K59" s="257">
        <v>0.1142</v>
      </c>
      <c r="L59" s="5">
        <v>45593</v>
      </c>
      <c r="M59" s="4">
        <v>4.2799999999999998E-2</v>
      </c>
      <c r="N59" s="260">
        <f t="shared" si="0"/>
        <v>6.9599999999999995E-2</v>
      </c>
      <c r="AG59" s="301"/>
    </row>
    <row r="60" spans="1:33" hidden="1" x14ac:dyDescent="0.3">
      <c r="A60" s="259">
        <v>45600</v>
      </c>
      <c r="B60" s="257">
        <v>0.1152</v>
      </c>
      <c r="C60" s="257">
        <v>0.1028</v>
      </c>
      <c r="D60" s="257">
        <v>0.1016</v>
      </c>
      <c r="E60" s="257">
        <v>0.1128</v>
      </c>
      <c r="F60" s="257">
        <v>0.1118</v>
      </c>
      <c r="G60" s="257">
        <v>0.113</v>
      </c>
      <c r="H60" s="257">
        <v>0.10249999999999999</v>
      </c>
      <c r="I60" s="257">
        <v>0.115</v>
      </c>
      <c r="J60" s="257">
        <v>0.1105</v>
      </c>
      <c r="K60" s="257">
        <v>0.11700000000000001</v>
      </c>
      <c r="L60" s="5">
        <v>45600</v>
      </c>
      <c r="M60" s="4">
        <v>4.2200000000000001E-2</v>
      </c>
      <c r="N60" s="260">
        <f t="shared" si="0"/>
        <v>7.2999999999999995E-2</v>
      </c>
    </row>
    <row r="61" spans="1:33" hidden="1" x14ac:dyDescent="0.3">
      <c r="A61" s="259">
        <v>45607</v>
      </c>
      <c r="B61" s="257">
        <v>0.1042</v>
      </c>
      <c r="C61" s="257">
        <v>9.1800000000000007E-2</v>
      </c>
      <c r="D61" s="257">
        <v>9.06E-2</v>
      </c>
      <c r="E61" s="257">
        <v>0.1018</v>
      </c>
      <c r="F61" s="257">
        <v>0.1008</v>
      </c>
      <c r="G61" s="257">
        <v>0.10200000000000001</v>
      </c>
      <c r="H61" s="257">
        <v>9.1499999999999998E-2</v>
      </c>
      <c r="I61" s="257">
        <v>0.10400000000000001</v>
      </c>
      <c r="J61" s="257">
        <v>9.9500000000000005E-2</v>
      </c>
      <c r="K61" s="257">
        <v>0.10600000000000001</v>
      </c>
      <c r="L61" s="5">
        <v>45607</v>
      </c>
      <c r="M61" s="4">
        <v>4.3119999999999999E-2</v>
      </c>
      <c r="N61" s="260">
        <f t="shared" si="0"/>
        <v>6.1080000000000002E-2</v>
      </c>
    </row>
    <row r="62" spans="1:33" hidden="1" x14ac:dyDescent="0.3">
      <c r="A62" s="259">
        <v>45614</v>
      </c>
      <c r="B62" s="257">
        <v>0.10879999999999999</v>
      </c>
      <c r="C62" s="257">
        <v>9.64E-2</v>
      </c>
      <c r="D62" s="257">
        <v>9.5199999999999993E-2</v>
      </c>
      <c r="E62" s="257">
        <v>0.10639999999999999</v>
      </c>
      <c r="F62" s="257">
        <v>0.10539999999999999</v>
      </c>
      <c r="G62" s="257">
        <v>0.1066</v>
      </c>
      <c r="H62" s="257">
        <v>9.6099999999999991E-2</v>
      </c>
      <c r="I62" s="257">
        <v>0.1086</v>
      </c>
      <c r="J62" s="257">
        <v>0.1041</v>
      </c>
      <c r="K62" s="257">
        <v>0.1106</v>
      </c>
      <c r="L62" s="5">
        <v>45614</v>
      </c>
      <c r="M62" s="4">
        <v>4.3400000000000001E-2</v>
      </c>
      <c r="N62" s="260">
        <f t="shared" si="0"/>
        <v>6.5399999999999986E-2</v>
      </c>
      <c r="P62" s="301"/>
      <c r="Q62" s="301"/>
    </row>
    <row r="63" spans="1:33" hidden="1" x14ac:dyDescent="0.3">
      <c r="A63" s="259">
        <v>45621</v>
      </c>
      <c r="B63" s="257">
        <v>0.1028</v>
      </c>
      <c r="C63" s="257">
        <v>9.1200000000000003E-2</v>
      </c>
      <c r="D63" s="257">
        <v>8.72E-2</v>
      </c>
      <c r="E63" s="257">
        <v>9.9199999999999997E-2</v>
      </c>
      <c r="F63" s="257">
        <v>9.9699999999999997E-2</v>
      </c>
      <c r="G63" s="257">
        <v>0.1008</v>
      </c>
      <c r="H63" s="257">
        <v>9.01E-2</v>
      </c>
      <c r="I63" s="257">
        <v>0.10290000000000001</v>
      </c>
      <c r="J63" s="257">
        <v>9.8199999999999996E-2</v>
      </c>
      <c r="K63" s="257">
        <v>0.1057</v>
      </c>
      <c r="L63" s="5">
        <v>45621</v>
      </c>
      <c r="M63" s="4">
        <v>4.3799999999999999E-2</v>
      </c>
      <c r="N63" s="260">
        <f t="shared" si="0"/>
        <v>5.9000000000000004E-2</v>
      </c>
    </row>
    <row r="64" spans="1:33" hidden="1" x14ac:dyDescent="0.3">
      <c r="A64" s="259">
        <v>45628</v>
      </c>
      <c r="B64" s="257">
        <v>0.10199999999999999</v>
      </c>
      <c r="C64" s="257">
        <v>9.3200000000000005E-2</v>
      </c>
      <c r="D64" s="257">
        <v>8.6400000000000005E-2</v>
      </c>
      <c r="E64" s="257">
        <v>0.1012</v>
      </c>
      <c r="F64" s="257">
        <v>0.1002</v>
      </c>
      <c r="G64" s="257">
        <v>9.9900000000000003E-2</v>
      </c>
      <c r="H64" s="257">
        <v>8.9499999999999996E-2</v>
      </c>
      <c r="I64" s="257">
        <v>0.1037</v>
      </c>
      <c r="J64" s="257">
        <v>9.9599999999999994E-2</v>
      </c>
      <c r="K64" s="257">
        <v>0.1051</v>
      </c>
      <c r="L64" s="5">
        <v>45628</v>
      </c>
      <c r="M64" s="4">
        <v>4.3200000000000002E-2</v>
      </c>
      <c r="N64" s="260">
        <f t="shared" si="0"/>
        <v>5.8799999999999991E-2</v>
      </c>
    </row>
    <row r="65" spans="1:26" hidden="1" x14ac:dyDescent="0.3">
      <c r="A65" s="259">
        <v>45635</v>
      </c>
      <c r="B65" s="257">
        <v>9.9199999999999997E-2</v>
      </c>
      <c r="C65" s="257">
        <v>0.09</v>
      </c>
      <c r="D65" s="257">
        <v>8.48E-2</v>
      </c>
      <c r="E65" s="257">
        <v>9.8400000000000001E-2</v>
      </c>
      <c r="F65" s="257">
        <v>9.7500000000000003E-2</v>
      </c>
      <c r="G65" s="257">
        <v>9.7100000000000006E-2</v>
      </c>
      <c r="H65" s="257">
        <v>8.6699999999999999E-2</v>
      </c>
      <c r="I65" s="257">
        <v>0.1003</v>
      </c>
      <c r="J65" s="257">
        <v>9.6699999999999994E-2</v>
      </c>
      <c r="K65" s="257">
        <v>0.1033</v>
      </c>
      <c r="L65" s="5">
        <v>45635</v>
      </c>
      <c r="M65" s="4">
        <v>4.19E-2</v>
      </c>
      <c r="N65" s="260">
        <f t="shared" si="0"/>
        <v>5.7299999999999997E-2</v>
      </c>
    </row>
    <row r="66" spans="1:26" hidden="1" x14ac:dyDescent="0.3">
      <c r="A66" s="296">
        <v>45642</v>
      </c>
      <c r="B66" s="297">
        <v>0.1008</v>
      </c>
      <c r="C66" s="297">
        <v>9.1600000000000001E-2</v>
      </c>
      <c r="D66" s="297">
        <v>8.6400000000000005E-2</v>
      </c>
      <c r="E66" s="297">
        <v>0.1004</v>
      </c>
      <c r="F66" s="297">
        <v>9.9000000000000005E-2</v>
      </c>
      <c r="G66" s="297">
        <v>9.8699999999999996E-2</v>
      </c>
      <c r="H66" s="297">
        <v>8.8099999999999998E-2</v>
      </c>
      <c r="I66" s="297">
        <v>0.1019</v>
      </c>
      <c r="J66" s="297">
        <v>9.8299999999999998E-2</v>
      </c>
      <c r="K66" s="297">
        <v>0.1047</v>
      </c>
      <c r="L66" s="298">
        <v>45642</v>
      </c>
      <c r="M66" s="299">
        <v>4.2200000000000001E-2</v>
      </c>
      <c r="N66" s="260">
        <f t="shared" si="0"/>
        <v>5.8599999999999999E-2</v>
      </c>
      <c r="P66" s="301"/>
    </row>
    <row r="67" spans="1:26" ht="15" hidden="1" thickBot="1" x14ac:dyDescent="0.35">
      <c r="A67" s="262">
        <v>45670</v>
      </c>
      <c r="B67" s="261">
        <v>0.112</v>
      </c>
      <c r="C67" s="261">
        <v>0.1012</v>
      </c>
      <c r="D67" s="261">
        <v>9.7600000000000006E-2</v>
      </c>
      <c r="E67" s="261">
        <v>0.1096</v>
      </c>
      <c r="F67" s="261">
        <v>0.1082</v>
      </c>
      <c r="G67" s="261">
        <v>0.1079</v>
      </c>
      <c r="H67" s="261">
        <v>9.7300000000000011E-2</v>
      </c>
      <c r="I67" s="261">
        <v>0.11110000000000002</v>
      </c>
      <c r="J67" s="261">
        <v>0.10750000000000003</v>
      </c>
      <c r="K67" s="261">
        <v>0.11390000000000003</v>
      </c>
      <c r="L67" s="262">
        <v>45670</v>
      </c>
      <c r="M67" s="263">
        <v>4.2200000000000001E-2</v>
      </c>
      <c r="N67" s="260">
        <f t="shared" si="0"/>
        <v>6.9800000000000001E-2</v>
      </c>
    </row>
    <row r="68" spans="1:26" ht="15" hidden="1" thickBot="1" x14ac:dyDescent="0.35">
      <c r="A68" s="262">
        <v>45678</v>
      </c>
      <c r="B68" s="261">
        <v>0.1036</v>
      </c>
      <c r="C68" s="261">
        <v>9.3200000000000005E-2</v>
      </c>
      <c r="D68" s="261">
        <v>9.0800000000000006E-2</v>
      </c>
      <c r="E68" s="261">
        <v>0.1016</v>
      </c>
      <c r="F68" s="261">
        <v>0.10019999999999998</v>
      </c>
      <c r="G68" s="261">
        <v>9.9899999999999975E-2</v>
      </c>
      <c r="H68" s="261">
        <v>8.929999999999999E-2</v>
      </c>
      <c r="I68" s="261">
        <v>0.10310000000000001</v>
      </c>
      <c r="J68" s="261">
        <v>9.9500000000000019E-2</v>
      </c>
      <c r="K68" s="261">
        <v>0.10590000000000001</v>
      </c>
      <c r="L68" s="262">
        <v>45678</v>
      </c>
      <c r="M68" s="263">
        <v>4.2130000000000001E-2</v>
      </c>
      <c r="N68" s="260">
        <f t="shared" si="0"/>
        <v>6.1469999999999997E-2</v>
      </c>
    </row>
    <row r="69" spans="1:26" ht="15" hidden="1" thickBot="1" x14ac:dyDescent="0.35">
      <c r="A69" s="262">
        <v>45684</v>
      </c>
      <c r="B69" s="261">
        <v>0.10199999999999999</v>
      </c>
      <c r="C69" s="261">
        <v>9.1999999999999998E-2</v>
      </c>
      <c r="D69" s="261">
        <v>8.8400000000000006E-2</v>
      </c>
      <c r="E69" s="261">
        <v>0.1</v>
      </c>
      <c r="F69" s="261">
        <v>9.8599999999999993E-2</v>
      </c>
      <c r="G69" s="261">
        <v>9.8299999999999985E-2</v>
      </c>
      <c r="H69" s="261">
        <v>8.77E-2</v>
      </c>
      <c r="I69" s="261">
        <v>0.10150000000000002</v>
      </c>
      <c r="J69" s="261">
        <v>9.7900000000000029E-2</v>
      </c>
      <c r="K69" s="261">
        <v>0.10430000000000002</v>
      </c>
      <c r="L69" s="262">
        <v>45684</v>
      </c>
      <c r="M69" s="263">
        <v>4.1399999999999999E-2</v>
      </c>
      <c r="N69" s="260">
        <f t="shared" si="0"/>
        <v>6.0599999999999994E-2</v>
      </c>
    </row>
    <row r="70" spans="1:26" ht="15" hidden="1" thickBot="1" x14ac:dyDescent="0.35">
      <c r="A70" s="262">
        <v>45691</v>
      </c>
      <c r="B70" s="261">
        <v>0.1056</v>
      </c>
      <c r="C70" s="261">
        <v>9.4799999999999995E-2</v>
      </c>
      <c r="D70" s="261">
        <v>9.2399999999999996E-2</v>
      </c>
      <c r="E70" s="261">
        <v>0.104</v>
      </c>
      <c r="F70" s="261">
        <v>0.10259999999999998</v>
      </c>
      <c r="G70" s="261">
        <v>0.10229999999999997</v>
      </c>
      <c r="H70" s="261">
        <v>9.169999999999999E-2</v>
      </c>
      <c r="I70" s="261">
        <v>0.10550000000000001</v>
      </c>
      <c r="J70" s="261">
        <v>0.10190000000000002</v>
      </c>
      <c r="K70" s="261">
        <v>0.10830000000000001</v>
      </c>
      <c r="L70" s="262">
        <v>45691</v>
      </c>
      <c r="M70" s="263">
        <v>4.2000000000000003E-2</v>
      </c>
      <c r="N70" s="260">
        <f t="shared" si="0"/>
        <v>6.359999999999999E-2</v>
      </c>
      <c r="Z70" s="301"/>
    </row>
    <row r="71" spans="1:26" ht="15" hidden="1" thickBot="1" x14ac:dyDescent="0.35">
      <c r="A71" s="262">
        <v>45698</v>
      </c>
      <c r="B71" s="261">
        <v>0.1052</v>
      </c>
      <c r="C71" s="261">
        <v>9.5200000000000007E-2</v>
      </c>
      <c r="D71" s="261">
        <v>9.1200000000000003E-2</v>
      </c>
      <c r="E71" s="261">
        <v>0.1036</v>
      </c>
      <c r="F71" s="261">
        <v>0.10219999999999999</v>
      </c>
      <c r="G71" s="261">
        <v>0.10189999999999998</v>
      </c>
      <c r="H71" s="261">
        <v>9.1299999999999992E-2</v>
      </c>
      <c r="I71" s="261">
        <v>0.10510000000000001</v>
      </c>
      <c r="J71" s="261">
        <v>0.10150000000000002</v>
      </c>
      <c r="K71" s="261">
        <v>0.10790000000000001</v>
      </c>
      <c r="L71" s="262">
        <v>45698</v>
      </c>
      <c r="M71" s="263">
        <v>4.2410000000000003E-2</v>
      </c>
      <c r="N71" s="260">
        <f t="shared" si="0"/>
        <v>6.2789999999999999E-2</v>
      </c>
    </row>
    <row r="72" spans="1:26" ht="15" hidden="1" thickBot="1" x14ac:dyDescent="0.35">
      <c r="A72" s="262">
        <v>45706</v>
      </c>
      <c r="B72" s="261">
        <v>0.10199999999999999</v>
      </c>
      <c r="C72" s="261">
        <v>9.2399999999999996E-2</v>
      </c>
      <c r="D72" s="261">
        <v>9.3600000000000003E-2</v>
      </c>
      <c r="E72" s="261">
        <v>0.1</v>
      </c>
      <c r="F72" s="261">
        <v>9.8599999999999993E-2</v>
      </c>
      <c r="G72" s="261">
        <v>9.8299999999999985E-2</v>
      </c>
      <c r="H72" s="261">
        <v>8.77E-2</v>
      </c>
      <c r="I72" s="261">
        <v>0.10150000000000002</v>
      </c>
      <c r="J72" s="261">
        <v>9.7900000000000029E-2</v>
      </c>
      <c r="K72" s="261">
        <v>0.10430000000000002</v>
      </c>
      <c r="L72" s="262">
        <v>45706</v>
      </c>
      <c r="M72" s="263">
        <v>4.2410000000000003E-2</v>
      </c>
      <c r="N72" s="260">
        <f t="shared" ref="N72" si="1">B72-M72</f>
        <v>5.958999999999999E-2</v>
      </c>
      <c r="P72" s="301"/>
    </row>
    <row r="73" spans="1:26" ht="15" hidden="1" thickBot="1" x14ac:dyDescent="0.35">
      <c r="A73" s="262">
        <v>45712</v>
      </c>
      <c r="B73" s="261">
        <v>0.10680000000000001</v>
      </c>
      <c r="C73" s="261">
        <v>9.64E-2</v>
      </c>
      <c r="D73" s="261">
        <v>9.4E-2</v>
      </c>
      <c r="E73" s="261">
        <v>0.10440000000000001</v>
      </c>
      <c r="F73" s="261">
        <v>0.10299999999999999</v>
      </c>
      <c r="G73" s="261">
        <v>0.1027</v>
      </c>
      <c r="H73" s="261">
        <v>9.2100000000000001E-2</v>
      </c>
      <c r="I73" s="261">
        <v>0.10589999999999999</v>
      </c>
      <c r="J73" s="261">
        <v>0.1023</v>
      </c>
      <c r="K73" s="261">
        <v>0.1087</v>
      </c>
      <c r="L73" s="262">
        <v>45712</v>
      </c>
      <c r="M73" s="263">
        <v>4.2410000000000003E-2</v>
      </c>
      <c r="N73" s="260">
        <f t="shared" ref="N73" si="2">B73-M73</f>
        <v>6.4390000000000003E-2</v>
      </c>
    </row>
    <row r="74" spans="1:26" ht="15" hidden="1" thickBot="1" x14ac:dyDescent="0.35">
      <c r="A74" s="262">
        <v>45719</v>
      </c>
      <c r="B74" s="261">
        <v>0.1108</v>
      </c>
      <c r="C74" s="261">
        <v>9.8000000000000004E-2</v>
      </c>
      <c r="D74" s="261">
        <v>9.7199999999999995E-2</v>
      </c>
      <c r="E74" s="261">
        <v>0.1076</v>
      </c>
      <c r="F74" s="261">
        <v>0.10619999999999999</v>
      </c>
      <c r="G74" s="261">
        <v>0.10589999999999999</v>
      </c>
      <c r="H74" s="261">
        <v>9.5299999999999996E-2</v>
      </c>
      <c r="I74" s="261">
        <v>0.10909999999999999</v>
      </c>
      <c r="J74" s="261">
        <v>0.1055</v>
      </c>
      <c r="K74" s="261">
        <v>0.1119</v>
      </c>
      <c r="L74" s="262">
        <v>45719</v>
      </c>
      <c r="M74" s="263">
        <v>4.1200000000000001E-2</v>
      </c>
      <c r="N74" s="260">
        <f t="shared" ref="N74" si="3">B74-M74</f>
        <v>6.9599999999999995E-2</v>
      </c>
    </row>
    <row r="75" spans="1:26" ht="15" hidden="1" thickBot="1" x14ac:dyDescent="0.35">
      <c r="A75" s="262">
        <v>45726</v>
      </c>
      <c r="B75" s="261">
        <v>0.1168</v>
      </c>
      <c r="C75" s="261">
        <v>0.1045</v>
      </c>
      <c r="D75" s="261">
        <v>0.1048</v>
      </c>
      <c r="E75" s="261">
        <v>0.114</v>
      </c>
      <c r="F75" s="261">
        <v>0.11259999999999999</v>
      </c>
      <c r="G75" s="261">
        <v>0.1123</v>
      </c>
      <c r="H75" s="261">
        <v>0.1017</v>
      </c>
      <c r="I75" s="261">
        <v>0.11549999999999999</v>
      </c>
      <c r="J75" s="261">
        <v>0.1119</v>
      </c>
      <c r="K75" s="261">
        <v>0.1183</v>
      </c>
      <c r="L75" s="262">
        <v>45726</v>
      </c>
      <c r="M75" s="263">
        <v>4.018E-2</v>
      </c>
      <c r="N75" s="260">
        <f t="shared" ref="N75" si="4">B75-M75</f>
        <v>7.6619999999999994E-2</v>
      </c>
    </row>
    <row r="76" spans="1:26" ht="15" hidden="1" thickBot="1" x14ac:dyDescent="0.35">
      <c r="A76" s="262">
        <v>45733</v>
      </c>
      <c r="B76" s="261">
        <v>0.1144</v>
      </c>
      <c r="C76" s="261">
        <v>0.1008</v>
      </c>
      <c r="D76" s="261">
        <v>0.1024</v>
      </c>
      <c r="E76" s="261">
        <v>0.1128</v>
      </c>
      <c r="F76" s="261">
        <v>0.11139999999999999</v>
      </c>
      <c r="G76" s="261">
        <v>0.11109999999999999</v>
      </c>
      <c r="H76" s="261">
        <v>0.10049999999999999</v>
      </c>
      <c r="I76" s="261">
        <v>0.11429999999999998</v>
      </c>
      <c r="J76" s="261">
        <v>0.11069999999999999</v>
      </c>
      <c r="K76" s="261">
        <v>0.1171</v>
      </c>
      <c r="L76" s="262">
        <v>45733</v>
      </c>
      <c r="M76" s="263">
        <v>4.1200000000000001E-2</v>
      </c>
      <c r="N76" s="260">
        <f t="shared" ref="N76" si="5">B76-M76</f>
        <v>7.3200000000000001E-2</v>
      </c>
      <c r="Q76" s="301"/>
    </row>
    <row r="77" spans="1:26" ht="15" hidden="1" thickBot="1" x14ac:dyDescent="0.35">
      <c r="A77" s="262">
        <v>45740</v>
      </c>
      <c r="B77" s="261">
        <v>0.11119999999999999</v>
      </c>
      <c r="C77" s="261">
        <v>9.8400000000000001E-2</v>
      </c>
      <c r="D77" s="261">
        <v>9.8000000000000004E-2</v>
      </c>
      <c r="E77" s="261">
        <v>0.1096</v>
      </c>
      <c r="F77" s="261">
        <v>0.10819999999999999</v>
      </c>
      <c r="G77" s="261">
        <v>0.1079</v>
      </c>
      <c r="H77" s="261">
        <v>9.7299999999999998E-2</v>
      </c>
      <c r="I77" s="261">
        <v>0.11109999999999999</v>
      </c>
      <c r="J77" s="261">
        <v>0.1075</v>
      </c>
      <c r="K77" s="261">
        <v>0.1139</v>
      </c>
      <c r="L77" s="262">
        <v>45740</v>
      </c>
      <c r="M77" s="263">
        <v>4.07E-2</v>
      </c>
      <c r="N77" s="260">
        <f t="shared" ref="N77" si="6">B77-M77</f>
        <v>7.0499999999999993E-2</v>
      </c>
    </row>
    <row r="78" spans="1:26" ht="10.8" hidden="1" thickBot="1" x14ac:dyDescent="0.35">
      <c r="A78" s="262">
        <v>45747</v>
      </c>
      <c r="B78" s="261">
        <v>0.1142</v>
      </c>
      <c r="C78" s="261">
        <v>0.1014</v>
      </c>
      <c r="D78" s="261">
        <v>0.10100000000000001</v>
      </c>
      <c r="E78" s="261">
        <v>0.11260000000000001</v>
      </c>
      <c r="F78" s="261">
        <v>0.11119999999999999</v>
      </c>
      <c r="G78" s="261">
        <v>0.1109</v>
      </c>
      <c r="H78" s="261">
        <v>0.1003</v>
      </c>
      <c r="I78" s="261">
        <v>0.11409999999999999</v>
      </c>
      <c r="J78" s="261">
        <v>0.1105</v>
      </c>
      <c r="K78" s="261">
        <v>0.1169</v>
      </c>
      <c r="L78" s="262">
        <v>45747</v>
      </c>
      <c r="M78" s="263">
        <v>3.9960000000000002E-2</v>
      </c>
      <c r="N78" s="260">
        <f t="shared" ref="N78" si="7">B78-M78</f>
        <v>7.424E-2</v>
      </c>
      <c r="Q78" s="301"/>
    </row>
    <row r="79" spans="1:26" ht="15" hidden="1" thickBot="1" x14ac:dyDescent="0.35">
      <c r="A79" s="262">
        <v>45754</v>
      </c>
      <c r="B79" s="261">
        <v>0.14399999999999999</v>
      </c>
      <c r="C79" s="261">
        <v>0.12909999999999999</v>
      </c>
      <c r="D79" s="261">
        <v>0.12720000000000001</v>
      </c>
      <c r="E79" s="261">
        <v>0.1426</v>
      </c>
      <c r="F79" s="261">
        <v>0.14119999999999999</v>
      </c>
      <c r="G79" s="261">
        <v>0.1409</v>
      </c>
      <c r="H79" s="261">
        <v>0.1303</v>
      </c>
      <c r="I79" s="261">
        <v>0.14410000000000001</v>
      </c>
      <c r="J79" s="261">
        <v>0.14050000000000001</v>
      </c>
      <c r="K79" s="261">
        <v>0.14690000000000003</v>
      </c>
      <c r="L79" s="262">
        <v>45754</v>
      </c>
      <c r="M79" s="263">
        <v>3.8379999999999997E-2</v>
      </c>
      <c r="N79" s="260">
        <f t="shared" ref="N79:N84" si="8">B79-M79</f>
        <v>0.10561999999999999</v>
      </c>
      <c r="P79" s="301"/>
    </row>
    <row r="80" spans="1:26" ht="15" hidden="1" thickBot="1" x14ac:dyDescent="0.35">
      <c r="A80" s="262">
        <v>45761</v>
      </c>
      <c r="B80" s="261">
        <v>0.1424</v>
      </c>
      <c r="C80" s="261">
        <v>0.13109999999999999</v>
      </c>
      <c r="D80" s="261">
        <v>0.126</v>
      </c>
      <c r="E80" s="261">
        <v>0.14280000000000001</v>
      </c>
      <c r="F80" s="261">
        <v>0.14280000000000001</v>
      </c>
      <c r="G80" s="261">
        <v>0.1414</v>
      </c>
      <c r="H80" s="261">
        <v>0.1411</v>
      </c>
      <c r="I80" s="261">
        <v>0.1305</v>
      </c>
      <c r="J80" s="261">
        <v>0.14430000000000001</v>
      </c>
      <c r="K80" s="261">
        <v>0.14070000000000002</v>
      </c>
      <c r="L80" s="262">
        <v>45761</v>
      </c>
      <c r="M80" s="263">
        <v>4.0599999999999997E-2</v>
      </c>
      <c r="N80" s="260">
        <f t="shared" si="8"/>
        <v>0.1018</v>
      </c>
      <c r="P80" s="301"/>
    </row>
    <row r="81" spans="1:17" ht="15" hidden="1" thickBot="1" x14ac:dyDescent="0.35">
      <c r="A81" s="262">
        <v>45768</v>
      </c>
      <c r="B81" s="261">
        <v>0.1313</v>
      </c>
      <c r="C81" s="261">
        <v>0.1187</v>
      </c>
      <c r="D81" s="261">
        <v>0.1173</v>
      </c>
      <c r="E81" s="261">
        <v>0.13159999999999999</v>
      </c>
      <c r="F81" s="261">
        <v>0.13159999999999999</v>
      </c>
      <c r="G81" s="261">
        <v>0.13019999999999998</v>
      </c>
      <c r="H81" s="261">
        <v>0.12989999999999999</v>
      </c>
      <c r="I81" s="261">
        <v>0.11929999999999999</v>
      </c>
      <c r="J81" s="261">
        <v>0.1331</v>
      </c>
      <c r="K81" s="261">
        <v>0.1295</v>
      </c>
      <c r="L81" s="262">
        <v>45768</v>
      </c>
      <c r="M81" s="263">
        <v>3.9710000000000002E-2</v>
      </c>
      <c r="N81" s="260">
        <f t="shared" si="8"/>
        <v>9.1590000000000005E-2</v>
      </c>
      <c r="Q81" s="301"/>
    </row>
    <row r="82" spans="1:17" ht="15" hidden="1" thickBot="1" x14ac:dyDescent="0.35">
      <c r="A82" s="262">
        <v>45775</v>
      </c>
      <c r="B82" s="261">
        <v>0.1182</v>
      </c>
      <c r="C82" s="261">
        <v>0.1074</v>
      </c>
      <c r="D82" s="261">
        <v>0.1051</v>
      </c>
      <c r="E82" s="261">
        <v>0.1186</v>
      </c>
      <c r="F82" s="261">
        <v>0.1186</v>
      </c>
      <c r="G82" s="261">
        <v>0.11719999999999998</v>
      </c>
      <c r="H82" s="261">
        <v>0.11689999999999999</v>
      </c>
      <c r="I82" s="261">
        <v>0.10629999999999999</v>
      </c>
      <c r="J82" s="261">
        <v>0.1201</v>
      </c>
      <c r="K82" s="261">
        <v>0.11650000000000001</v>
      </c>
      <c r="L82" s="262">
        <v>45775</v>
      </c>
      <c r="M82" s="263">
        <v>3.9690000000000003E-2</v>
      </c>
      <c r="N82" s="260">
        <f t="shared" si="8"/>
        <v>7.8509999999999996E-2</v>
      </c>
    </row>
    <row r="83" spans="1:17" ht="15" thickBot="1" x14ac:dyDescent="0.35">
      <c r="A83" s="262">
        <v>45782</v>
      </c>
      <c r="B83" s="261">
        <v>0.11548</v>
      </c>
      <c r="C83" s="261">
        <v>0.10468</v>
      </c>
      <c r="D83" s="261">
        <v>0.10238</v>
      </c>
      <c r="E83" s="261">
        <v>0.11588000000000001</v>
      </c>
      <c r="F83" s="261">
        <v>0.11588000000000002</v>
      </c>
      <c r="G83" s="261">
        <v>0.11448000000000001</v>
      </c>
      <c r="H83" s="261">
        <v>0.11418000000000002</v>
      </c>
      <c r="I83" s="261">
        <v>0.10358000000000002</v>
      </c>
      <c r="J83" s="261">
        <v>0.11738000000000003</v>
      </c>
      <c r="K83" s="261">
        <v>0.11378000000000003</v>
      </c>
      <c r="L83" s="262">
        <v>45782</v>
      </c>
      <c r="M83" s="263">
        <v>3.9690000000000003E-2</v>
      </c>
      <c r="N83" s="260">
        <f t="shared" si="8"/>
        <v>7.5789999999999996E-2</v>
      </c>
      <c r="P83" s="301"/>
    </row>
    <row r="84" spans="1:17" ht="15" thickBot="1" x14ac:dyDescent="0.35">
      <c r="A84" s="262">
        <v>45789</v>
      </c>
      <c r="B84" s="261">
        <v>0.1176</v>
      </c>
      <c r="C84" s="261">
        <v>0.10679999999999998</v>
      </c>
      <c r="D84" s="261">
        <v>0.10449999999999998</v>
      </c>
      <c r="E84" s="261">
        <v>0.11799999999999999</v>
      </c>
      <c r="F84" s="261">
        <v>0.11800000000000002</v>
      </c>
      <c r="G84" s="261">
        <v>0.1166</v>
      </c>
      <c r="H84" s="261">
        <v>0.1163</v>
      </c>
      <c r="I84" s="261">
        <v>0.1057</v>
      </c>
      <c r="J84" s="261">
        <v>0.11950000000000001</v>
      </c>
      <c r="K84" s="261">
        <v>0.11590000000000002</v>
      </c>
      <c r="L84" s="262">
        <v>45789</v>
      </c>
      <c r="M84" s="263">
        <v>4.1329999999999999E-2</v>
      </c>
      <c r="N84" s="260">
        <f t="shared" si="8"/>
        <v>7.6270000000000004E-2</v>
      </c>
    </row>
    <row r="85" spans="1:17" ht="15" thickBot="1" x14ac:dyDescent="0.35">
      <c r="A85" s="262">
        <v>45796</v>
      </c>
      <c r="B85" s="261">
        <v>0.1099</v>
      </c>
      <c r="C85" s="261">
        <v>9.8900000000000002E-2</v>
      </c>
      <c r="D85" s="261">
        <v>9.8299999999999998E-2</v>
      </c>
      <c r="E85" s="261">
        <v>0.1095</v>
      </c>
      <c r="F85" s="261">
        <v>0.10950000000000003</v>
      </c>
      <c r="G85" s="261">
        <v>0.1081</v>
      </c>
      <c r="H85" s="261">
        <v>0.10780000000000001</v>
      </c>
      <c r="I85" s="261">
        <v>9.7200000000000009E-2</v>
      </c>
      <c r="J85" s="261">
        <v>0.11100000000000002</v>
      </c>
      <c r="K85" s="261">
        <v>0.10740000000000002</v>
      </c>
      <c r="L85" s="262">
        <v>45796</v>
      </c>
      <c r="M85" s="263">
        <v>4.138E-2</v>
      </c>
      <c r="N85" s="260">
        <f t="shared" ref="N85" si="9">B85-M85</f>
        <v>6.8519999999999998E-2</v>
      </c>
      <c r="P85" s="301"/>
    </row>
    <row r="86" spans="1:17" ht="15" thickBot="1" x14ac:dyDescent="0.35">
      <c r="A86" s="262">
        <v>45804</v>
      </c>
      <c r="B86" s="261">
        <v>0.1183</v>
      </c>
      <c r="C86" s="261">
        <v>0.11070000000000001</v>
      </c>
      <c r="D86" s="261">
        <v>0.1105</v>
      </c>
      <c r="E86" s="261">
        <v>0.1217</v>
      </c>
      <c r="F86" s="261">
        <v>0.12170000000000003</v>
      </c>
      <c r="G86" s="261">
        <v>0.1203</v>
      </c>
      <c r="H86" s="261">
        <v>0.12000000000000001</v>
      </c>
      <c r="I86" s="261">
        <v>0.10940000000000001</v>
      </c>
      <c r="J86" s="261">
        <v>0.12320000000000002</v>
      </c>
      <c r="K86" s="261">
        <v>0.11960000000000003</v>
      </c>
      <c r="L86" s="262">
        <v>45804</v>
      </c>
      <c r="M86" s="263">
        <v>4.1509999999999998E-2</v>
      </c>
      <c r="N86" s="260">
        <f t="shared" ref="N86:N87" si="10">B86-M86</f>
        <v>7.6789999999999997E-2</v>
      </c>
      <c r="Q86" s="301"/>
    </row>
    <row r="87" spans="1:17" ht="15" thickBot="1" x14ac:dyDescent="0.35">
      <c r="A87" s="262">
        <v>45810</v>
      </c>
      <c r="B87" s="261">
        <v>0.11409999999999999</v>
      </c>
      <c r="C87" s="261">
        <v>0.1065</v>
      </c>
      <c r="D87" s="261">
        <v>0.10629999999999999</v>
      </c>
      <c r="E87" s="261">
        <v>0.11749999999999998</v>
      </c>
      <c r="F87" s="261">
        <v>0.11750000000000002</v>
      </c>
      <c r="G87" s="261">
        <v>0.11609999999999998</v>
      </c>
      <c r="H87" s="261">
        <v>0.11579999999999997</v>
      </c>
      <c r="I87" s="261">
        <v>0.10519999999999997</v>
      </c>
      <c r="J87" s="261">
        <v>0.11899999999999998</v>
      </c>
      <c r="K87" s="261">
        <v>0.11539999999999999</v>
      </c>
      <c r="L87" s="262">
        <v>45810</v>
      </c>
      <c r="M87" s="263">
        <v>4.1099999999999998E-2</v>
      </c>
      <c r="N87" s="260">
        <f t="shared" si="10"/>
        <v>7.2999999999999995E-2</v>
      </c>
    </row>
    <row r="88" spans="1:17" ht="15" thickBot="1" x14ac:dyDescent="0.35">
      <c r="A88" s="262">
        <v>45817</v>
      </c>
      <c r="B88" s="261">
        <v>0.1071</v>
      </c>
      <c r="C88" s="261">
        <v>0.1004</v>
      </c>
      <c r="D88" s="261">
        <v>9.9400000000000002E-2</v>
      </c>
      <c r="E88" s="261">
        <v>0.1113</v>
      </c>
      <c r="F88" s="261">
        <v>0.11130000000000004</v>
      </c>
      <c r="G88" s="261">
        <v>0.1099</v>
      </c>
      <c r="H88" s="261">
        <v>0.10959999999999999</v>
      </c>
      <c r="I88" s="261">
        <v>9.8999999999999991E-2</v>
      </c>
      <c r="J88" s="261">
        <v>0.1128</v>
      </c>
      <c r="K88" s="261">
        <v>0.10920000000000001</v>
      </c>
      <c r="L88" s="262">
        <v>45817</v>
      </c>
      <c r="M88" s="263">
        <v>4.1660000000000003E-2</v>
      </c>
      <c r="N88" s="260">
        <f t="shared" ref="N88:N93" si="11">B88-M88</f>
        <v>6.5439999999999998E-2</v>
      </c>
    </row>
    <row r="89" spans="1:17" ht="15" thickBot="1" x14ac:dyDescent="0.35">
      <c r="A89" s="262">
        <v>45824</v>
      </c>
      <c r="B89" s="261">
        <v>0.1171</v>
      </c>
      <c r="C89" s="261">
        <v>0.1105</v>
      </c>
      <c r="D89" s="261">
        <v>0.1082</v>
      </c>
      <c r="E89" s="261">
        <v>0.1105</v>
      </c>
      <c r="F89" s="261">
        <v>0.11050000000000004</v>
      </c>
      <c r="G89" s="261">
        <v>0.1091</v>
      </c>
      <c r="H89" s="261">
        <v>0.10879999999999999</v>
      </c>
      <c r="I89" s="261">
        <v>9.8199999999999996E-2</v>
      </c>
      <c r="J89" s="261">
        <v>0.112</v>
      </c>
      <c r="K89" s="261">
        <v>0.10840000000000001</v>
      </c>
      <c r="L89" s="262">
        <v>45824</v>
      </c>
      <c r="M89" s="263">
        <v>4.1000000000000002E-2</v>
      </c>
      <c r="N89" s="260">
        <f t="shared" si="11"/>
        <v>7.6100000000000001E-2</v>
      </c>
    </row>
    <row r="90" spans="1:17" ht="15" thickBot="1" x14ac:dyDescent="0.35">
      <c r="A90" s="262">
        <v>45831</v>
      </c>
      <c r="B90" s="261">
        <v>0.1138</v>
      </c>
      <c r="C90" s="261">
        <v>0.1037</v>
      </c>
      <c r="D90" s="261">
        <v>9.9400000000000002E-2</v>
      </c>
      <c r="E90" s="261">
        <v>0.1123</v>
      </c>
      <c r="F90" s="261">
        <v>0.11230000000000004</v>
      </c>
      <c r="G90" s="261">
        <v>0.1109</v>
      </c>
      <c r="H90" s="261">
        <v>0.11059999999999999</v>
      </c>
      <c r="I90" s="261">
        <v>9.9999999999999992E-2</v>
      </c>
      <c r="J90" s="261">
        <v>0.1138</v>
      </c>
      <c r="K90" s="261">
        <v>0.11020000000000001</v>
      </c>
      <c r="L90" s="262">
        <v>45831</v>
      </c>
      <c r="M90" s="263">
        <v>4.0739999999999998E-2</v>
      </c>
      <c r="N90" s="260">
        <f t="shared" si="11"/>
        <v>7.306E-2</v>
      </c>
    </row>
    <row r="91" spans="1:17" ht="15" thickBot="1" x14ac:dyDescent="0.35">
      <c r="A91" s="262">
        <v>45838</v>
      </c>
      <c r="B91" s="261">
        <v>0.10299999999999999</v>
      </c>
      <c r="C91" s="261">
        <v>9.3600000000000003E-2</v>
      </c>
      <c r="D91" s="261">
        <v>9.0800000000000006E-2</v>
      </c>
      <c r="E91" s="261">
        <v>0.10299999999999999</v>
      </c>
      <c r="F91" s="261">
        <v>0.10300000000000004</v>
      </c>
      <c r="G91" s="261">
        <v>0.1016</v>
      </c>
      <c r="H91" s="261">
        <v>0.10129999999999999</v>
      </c>
      <c r="I91" s="261">
        <v>9.0699999999999989E-2</v>
      </c>
      <c r="J91" s="261">
        <v>0.1045</v>
      </c>
      <c r="K91" s="261">
        <v>0.1009</v>
      </c>
      <c r="L91" s="262">
        <v>45838</v>
      </c>
      <c r="M91" s="263">
        <v>4.002E-2</v>
      </c>
      <c r="N91" s="260">
        <f t="shared" si="11"/>
        <v>6.2979999999999994E-2</v>
      </c>
    </row>
    <row r="92" spans="1:17" ht="15" thickBot="1" x14ac:dyDescent="0.35">
      <c r="A92" s="262">
        <v>45845</v>
      </c>
      <c r="B92" s="261">
        <v>9.8100000000000007E-2</v>
      </c>
      <c r="C92" s="261">
        <v>8.5800000000000001E-2</v>
      </c>
      <c r="D92" s="261">
        <v>8.3900000000000002E-2</v>
      </c>
      <c r="E92" s="261">
        <v>9.5600000000000004E-2</v>
      </c>
      <c r="F92" s="261">
        <v>9.5600000000000046E-2</v>
      </c>
      <c r="G92" s="261">
        <v>9.4200000000000006E-2</v>
      </c>
      <c r="H92" s="261">
        <v>9.3899999999999997E-2</v>
      </c>
      <c r="I92" s="261">
        <v>8.3299999999999999E-2</v>
      </c>
      <c r="J92" s="261">
        <v>9.7100000000000006E-2</v>
      </c>
      <c r="K92" s="261">
        <v>9.3500000000000014E-2</v>
      </c>
      <c r="L92" s="262">
        <f t="shared" ref="L92:L97" si="12">A92</f>
        <v>45845</v>
      </c>
      <c r="M92" s="263">
        <v>4.0800000000000003E-2</v>
      </c>
      <c r="N92" s="260">
        <f t="shared" si="11"/>
        <v>5.7300000000000004E-2</v>
      </c>
    </row>
    <row r="93" spans="1:17" ht="15" thickBot="1" x14ac:dyDescent="0.35">
      <c r="A93" s="262">
        <v>45852</v>
      </c>
      <c r="B93" s="261">
        <v>0.104</v>
      </c>
      <c r="C93" s="261">
        <v>9.5899999999999999E-2</v>
      </c>
      <c r="D93" s="261">
        <v>9.06E-2</v>
      </c>
      <c r="E93" s="261">
        <v>0.10440000000000001</v>
      </c>
      <c r="F93" s="261">
        <v>0.10440000000000005</v>
      </c>
      <c r="G93" s="261">
        <v>0.10300000000000001</v>
      </c>
      <c r="H93" s="261">
        <v>0.1027</v>
      </c>
      <c r="I93" s="261">
        <v>9.2100000000000001E-2</v>
      </c>
      <c r="J93" s="261">
        <v>0.10590000000000001</v>
      </c>
      <c r="K93" s="261">
        <v>0.10230000000000002</v>
      </c>
      <c r="L93" s="262">
        <f t="shared" si="12"/>
        <v>45852</v>
      </c>
      <c r="M93" s="263">
        <v>4.0800000000000003E-2</v>
      </c>
      <c r="N93" s="260">
        <f t="shared" si="11"/>
        <v>6.3199999999999992E-2</v>
      </c>
    </row>
    <row r="94" spans="1:17" ht="15" thickBot="1" x14ac:dyDescent="0.35">
      <c r="A94" s="262">
        <v>45859</v>
      </c>
      <c r="B94" s="261">
        <v>0.10979999999999999</v>
      </c>
      <c r="C94" s="261">
        <v>0.1017</v>
      </c>
      <c r="D94" s="261">
        <v>9.64E-2</v>
      </c>
      <c r="E94" s="261">
        <v>0.11020000000000001</v>
      </c>
      <c r="F94" s="261">
        <v>0.11019999999999996</v>
      </c>
      <c r="G94" s="261">
        <v>0.1116</v>
      </c>
      <c r="H94" s="261">
        <v>0.11190000000000001</v>
      </c>
      <c r="I94" s="261">
        <v>0.12250000000000001</v>
      </c>
      <c r="J94" s="261">
        <v>0.1087</v>
      </c>
      <c r="K94" s="261">
        <v>0.1123</v>
      </c>
      <c r="L94" s="262">
        <f t="shared" si="12"/>
        <v>45859</v>
      </c>
      <c r="M94" s="263">
        <v>4.0800000000000003E-2</v>
      </c>
      <c r="N94" s="260">
        <f t="shared" ref="N94" si="13">B94-M94</f>
        <v>6.8999999999999992E-2</v>
      </c>
    </row>
    <row r="95" spans="1:17" ht="15" thickBot="1" x14ac:dyDescent="0.35">
      <c r="A95" s="262">
        <v>45866</v>
      </c>
      <c r="B95" s="261">
        <v>0.10009999999999999</v>
      </c>
      <c r="C95" s="261">
        <v>9.2700000000000005E-2</v>
      </c>
      <c r="D95" s="261">
        <v>8.8599999999999998E-2</v>
      </c>
      <c r="E95" s="261">
        <v>0.1008</v>
      </c>
      <c r="F95" s="261">
        <v>0.10290000000000001</v>
      </c>
      <c r="G95" s="261">
        <v>9.9399999999999905E-2</v>
      </c>
      <c r="H95" s="261">
        <v>9.9099999999999897E-2</v>
      </c>
      <c r="I95" s="261">
        <v>8.8499999999999898E-2</v>
      </c>
      <c r="J95" s="261">
        <v>0.1022999999999999</v>
      </c>
      <c r="K95" s="261">
        <v>9.8699999999999913E-2</v>
      </c>
      <c r="L95" s="262">
        <f t="shared" si="12"/>
        <v>45866</v>
      </c>
      <c r="M95" s="263">
        <v>4.1169999999999998E-2</v>
      </c>
      <c r="N95" s="260">
        <f t="shared" ref="N95" si="14">B95-M95</f>
        <v>5.8929999999999996E-2</v>
      </c>
      <c r="P95" s="301"/>
    </row>
    <row r="96" spans="1:17" ht="15" thickBot="1" x14ac:dyDescent="0.35">
      <c r="A96" s="262">
        <v>45873</v>
      </c>
      <c r="B96" s="261">
        <v>0.1072</v>
      </c>
      <c r="C96" s="261">
        <v>9.9500000000000005E-2</v>
      </c>
      <c r="D96" s="261">
        <v>9.4899999999999998E-2</v>
      </c>
      <c r="E96" s="261">
        <v>0.1081</v>
      </c>
      <c r="F96" s="261">
        <v>0.11020000000000001</v>
      </c>
      <c r="G96" s="261">
        <v>0.10669999999999991</v>
      </c>
      <c r="H96" s="261">
        <v>0.1063999999999999</v>
      </c>
      <c r="I96" s="261">
        <v>9.5799999999999899E-2</v>
      </c>
      <c r="J96" s="261">
        <v>0.10959999999999991</v>
      </c>
      <c r="K96" s="261">
        <v>0.10599999999999991</v>
      </c>
      <c r="L96" s="262">
        <f t="shared" si="12"/>
        <v>45873</v>
      </c>
      <c r="M96" s="263">
        <v>3.8420000000000003E-2</v>
      </c>
      <c r="N96" s="260">
        <f t="shared" ref="N96" si="15">B96-M96</f>
        <v>6.8780000000000008E-2</v>
      </c>
    </row>
    <row r="97" spans="1:14" ht="15" thickBot="1" x14ac:dyDescent="0.35">
      <c r="A97" s="262">
        <v>45880</v>
      </c>
      <c r="B97" s="261">
        <v>0.1027</v>
      </c>
      <c r="C97" s="261">
        <v>9.4700000000000006E-2</v>
      </c>
      <c r="D97" s="261">
        <v>8.9599999999999999E-2</v>
      </c>
      <c r="E97" s="261">
        <v>0.1027</v>
      </c>
      <c r="F97" s="261">
        <v>0.1048</v>
      </c>
      <c r="G97" s="261">
        <v>0.1012999999999999</v>
      </c>
      <c r="H97" s="261">
        <v>0.1009999999999999</v>
      </c>
      <c r="I97" s="261">
        <v>9.0399999999999897E-2</v>
      </c>
      <c r="J97" s="261">
        <v>0.1041999999999999</v>
      </c>
      <c r="K97" s="261">
        <v>0.10059999999999991</v>
      </c>
      <c r="L97" s="262">
        <f t="shared" si="12"/>
        <v>45880</v>
      </c>
      <c r="M97" s="263">
        <v>3.9280000000000002E-2</v>
      </c>
      <c r="N97" s="260">
        <f t="shared" ref="N97:N106" si="16">B97-M97</f>
        <v>6.3420000000000004E-2</v>
      </c>
    </row>
    <row r="98" spans="1:14" ht="15" thickBot="1" x14ac:dyDescent="0.35">
      <c r="A98" s="262">
        <v>45887</v>
      </c>
      <c r="B98" s="261">
        <v>0.10199999999999999</v>
      </c>
      <c r="C98" s="261">
        <v>9.4E-2</v>
      </c>
      <c r="D98" s="261">
        <v>8.8900000000000007E-2</v>
      </c>
      <c r="E98" s="261">
        <v>0.1019</v>
      </c>
      <c r="F98" s="261">
        <v>0.10400000000000001</v>
      </c>
      <c r="G98" s="261">
        <v>0.10049999999999991</v>
      </c>
      <c r="H98" s="261">
        <v>0.1001999999999999</v>
      </c>
      <c r="I98" s="261">
        <v>8.9599999999999902E-2</v>
      </c>
      <c r="J98" s="261">
        <v>0.10339999999999991</v>
      </c>
      <c r="K98" s="261">
        <v>9.9799999999999917E-2</v>
      </c>
      <c r="L98" s="262">
        <f t="shared" ref="L98" si="17">A98</f>
        <v>45887</v>
      </c>
      <c r="M98" s="263">
        <v>3.9260000000000003E-2</v>
      </c>
      <c r="N98" s="260">
        <f t="shared" si="16"/>
        <v>6.273999999999999E-2</v>
      </c>
    </row>
    <row r="99" spans="1:14" ht="15" thickBot="1" x14ac:dyDescent="0.35">
      <c r="A99" s="262">
        <v>45894</v>
      </c>
      <c r="B99" s="261">
        <v>0.1032</v>
      </c>
      <c r="C99" s="261">
        <v>9.5200000000000007E-2</v>
      </c>
      <c r="D99" s="261">
        <v>9.01E-2</v>
      </c>
      <c r="E99" s="261">
        <v>0.1031</v>
      </c>
      <c r="F99" s="261">
        <v>0.1052</v>
      </c>
      <c r="G99" s="261">
        <v>0.1016999999999999</v>
      </c>
      <c r="H99" s="261">
        <v>0.10139999999999989</v>
      </c>
      <c r="I99" s="261">
        <v>9.0799999999999895E-2</v>
      </c>
      <c r="J99" s="261">
        <v>0.1045999999999999</v>
      </c>
      <c r="K99" s="261">
        <v>0.10099999999999991</v>
      </c>
      <c r="L99" s="262">
        <f t="shared" ref="L99:L107" si="18">A99</f>
        <v>45894</v>
      </c>
      <c r="M99" s="263">
        <v>3.9109999999999999E-2</v>
      </c>
      <c r="N99" s="260">
        <f t="shared" si="16"/>
        <v>6.4090000000000008E-2</v>
      </c>
    </row>
    <row r="100" spans="1:14" ht="15" thickBot="1" x14ac:dyDescent="0.35">
      <c r="A100" s="262">
        <v>45902</v>
      </c>
      <c r="B100" s="261">
        <v>0.1053</v>
      </c>
      <c r="C100" s="261">
        <v>9.7299999999999998E-2</v>
      </c>
      <c r="D100" s="261">
        <v>9.2200000000000004E-2</v>
      </c>
      <c r="E100" s="261">
        <v>0.1052</v>
      </c>
      <c r="F100" s="261">
        <v>0.10730000000000001</v>
      </c>
      <c r="G100" s="261">
        <v>0.10379999999999991</v>
      </c>
      <c r="H100" s="261">
        <v>0.1034999999999999</v>
      </c>
      <c r="I100" s="261">
        <v>9.2899999999999899E-2</v>
      </c>
      <c r="J100" s="261">
        <v>0.10669999999999991</v>
      </c>
      <c r="K100" s="261">
        <v>0.10309999999999991</v>
      </c>
      <c r="L100" s="262">
        <f t="shared" si="18"/>
        <v>45902</v>
      </c>
      <c r="M100" s="263">
        <v>3.8649999999999997E-2</v>
      </c>
      <c r="N100" s="260">
        <f t="shared" si="16"/>
        <v>6.6650000000000015E-2</v>
      </c>
    </row>
    <row r="101" spans="1:14" ht="15" thickBot="1" x14ac:dyDescent="0.35">
      <c r="A101" s="262">
        <v>45908</v>
      </c>
      <c r="B101" s="261">
        <v>9.8400000000000001E-2</v>
      </c>
      <c r="C101" s="261">
        <v>8.9700000000000002E-2</v>
      </c>
      <c r="D101" s="261">
        <v>8.6599999999999996E-2</v>
      </c>
      <c r="E101" s="261">
        <v>9.8400000000000001E-2</v>
      </c>
      <c r="F101" s="261">
        <v>0.10050000000000001</v>
      </c>
      <c r="G101" s="261">
        <v>9.6999999999999906E-2</v>
      </c>
      <c r="H101" s="261">
        <v>9.6699999999999897E-2</v>
      </c>
      <c r="I101" s="261">
        <v>8.6099999999999899E-2</v>
      </c>
      <c r="J101" s="261">
        <v>9.9899999999999906E-2</v>
      </c>
      <c r="K101" s="261">
        <v>9.6299999999999913E-2</v>
      </c>
      <c r="L101" s="262">
        <f t="shared" si="18"/>
        <v>45908</v>
      </c>
      <c r="M101" s="263">
        <v>3.644E-2</v>
      </c>
      <c r="N101" s="260">
        <f t="shared" si="16"/>
        <v>6.1960000000000001E-2</v>
      </c>
    </row>
    <row r="102" spans="1:14" ht="15" thickBot="1" x14ac:dyDescent="0.35">
      <c r="A102" s="262">
        <v>45915</v>
      </c>
      <c r="B102" s="261">
        <v>9.8100000000000007E-2</v>
      </c>
      <c r="C102" s="261">
        <v>9.01E-2</v>
      </c>
      <c r="D102" s="261">
        <v>8.6900000000000005E-2</v>
      </c>
      <c r="E102" s="261">
        <v>9.7600000000000006E-2</v>
      </c>
      <c r="F102" s="261">
        <v>9.9700000000000011E-2</v>
      </c>
      <c r="G102" s="261">
        <v>9.6199999999999911E-2</v>
      </c>
      <c r="H102" s="261">
        <v>9.5899999999999902E-2</v>
      </c>
      <c r="I102" s="261">
        <v>8.5299999999999904E-2</v>
      </c>
      <c r="J102" s="261">
        <v>9.909999999999991E-2</v>
      </c>
      <c r="K102" s="261">
        <v>9.5499999999999918E-2</v>
      </c>
      <c r="L102" s="262">
        <f t="shared" si="18"/>
        <v>45915</v>
      </c>
      <c r="M102" s="263">
        <v>3.6479999999999999E-2</v>
      </c>
      <c r="N102" s="260">
        <f t="shared" si="16"/>
        <v>6.1620000000000008E-2</v>
      </c>
    </row>
    <row r="103" spans="1:14" ht="15" thickBot="1" x14ac:dyDescent="0.35">
      <c r="A103" s="262">
        <v>45922</v>
      </c>
      <c r="B103" s="261">
        <v>9.9299999999999999E-2</v>
      </c>
      <c r="C103" s="261">
        <v>9.1399999999999995E-2</v>
      </c>
      <c r="D103" s="261">
        <v>8.8200000000000001E-2</v>
      </c>
      <c r="E103" s="261">
        <v>9.8900000000000002E-2</v>
      </c>
      <c r="F103" s="261">
        <v>0.10100000000000001</v>
      </c>
      <c r="G103" s="261">
        <v>9.7499999999999906E-2</v>
      </c>
      <c r="H103" s="261">
        <v>9.7199999999999898E-2</v>
      </c>
      <c r="I103" s="261">
        <v>8.6599999999999899E-2</v>
      </c>
      <c r="J103" s="261">
        <v>0.10039999999999991</v>
      </c>
      <c r="K103" s="261">
        <v>9.6799999999999914E-2</v>
      </c>
      <c r="L103" s="262">
        <f t="shared" si="18"/>
        <v>45922</v>
      </c>
      <c r="M103" s="263">
        <v>3.5979999999999998E-2</v>
      </c>
      <c r="N103" s="260">
        <f t="shared" si="16"/>
        <v>6.3320000000000001E-2</v>
      </c>
    </row>
    <row r="104" spans="1:14" ht="15" thickBot="1" x14ac:dyDescent="0.35">
      <c r="A104" s="262">
        <v>45927</v>
      </c>
      <c r="B104" s="261">
        <v>0.1013</v>
      </c>
      <c r="C104" s="261">
        <v>9.2799999999999994E-2</v>
      </c>
      <c r="D104" s="261">
        <v>9.0300000000000005E-2</v>
      </c>
      <c r="E104" s="261">
        <v>0.10009999999999999</v>
      </c>
      <c r="F104" s="261">
        <v>0.1022</v>
      </c>
      <c r="G104" s="261">
        <v>9.8699999999999899E-2</v>
      </c>
      <c r="H104" s="261">
        <v>9.839999999999989E-2</v>
      </c>
      <c r="I104" s="261">
        <v>8.7799999999999892E-2</v>
      </c>
      <c r="J104" s="261">
        <v>0.1015999999999999</v>
      </c>
      <c r="K104" s="261">
        <v>9.7999999999999907E-2</v>
      </c>
      <c r="L104" s="262">
        <f t="shared" si="18"/>
        <v>45927</v>
      </c>
      <c r="M104" s="263">
        <v>3.671E-2</v>
      </c>
      <c r="N104" s="260">
        <f t="shared" si="16"/>
        <v>6.4590000000000009E-2</v>
      </c>
    </row>
    <row r="105" spans="1:14" ht="15" thickBot="1" x14ac:dyDescent="0.35">
      <c r="A105" s="262">
        <v>45936</v>
      </c>
      <c r="B105" s="261">
        <v>0.10199999999999999</v>
      </c>
      <c r="C105" s="261">
        <v>9.3600000000000003E-2</v>
      </c>
      <c r="D105" s="261">
        <v>9.11E-2</v>
      </c>
      <c r="E105" s="261">
        <v>0.1009</v>
      </c>
      <c r="F105" s="261">
        <v>0.10300000000000001</v>
      </c>
      <c r="G105" s="261">
        <v>9.9499999999999908E-2</v>
      </c>
      <c r="H105" s="261">
        <v>9.9199999999999899E-2</v>
      </c>
      <c r="I105" s="261">
        <v>8.8599999999999901E-2</v>
      </c>
      <c r="J105" s="261">
        <v>0.10239999999999991</v>
      </c>
      <c r="K105" s="261">
        <v>9.8799999999999916E-2</v>
      </c>
      <c r="L105" s="262">
        <f t="shared" si="18"/>
        <v>45936</v>
      </c>
      <c r="M105" s="263">
        <v>3.6549999999999999E-2</v>
      </c>
      <c r="N105" s="260">
        <f t="shared" si="16"/>
        <v>6.5449999999999994E-2</v>
      </c>
    </row>
    <row r="106" spans="1:14" ht="15" thickBot="1" x14ac:dyDescent="0.35">
      <c r="A106" s="262">
        <v>45943</v>
      </c>
      <c r="B106" s="261">
        <v>0.111</v>
      </c>
      <c r="C106" s="261">
        <v>0.1026</v>
      </c>
      <c r="D106" s="261">
        <v>0.10009999999999999</v>
      </c>
      <c r="E106" s="261">
        <v>0.1099</v>
      </c>
      <c r="F106" s="261">
        <v>0.112</v>
      </c>
      <c r="G106" s="261">
        <v>0.1084999999999999</v>
      </c>
      <c r="H106" s="261">
        <v>0.10819999999999989</v>
      </c>
      <c r="I106" s="261">
        <v>9.7599999999999895E-2</v>
      </c>
      <c r="J106" s="261">
        <v>0.1113999999999999</v>
      </c>
      <c r="K106" s="261">
        <v>0.10779999999999991</v>
      </c>
      <c r="L106" s="262">
        <f t="shared" si="18"/>
        <v>45943</v>
      </c>
      <c r="M106" s="263">
        <v>3.6159999999999998E-2</v>
      </c>
      <c r="N106" s="260">
        <f t="shared" si="16"/>
        <v>7.4840000000000004E-2</v>
      </c>
    </row>
    <row r="107" spans="1:14" ht="15" thickBot="1" x14ac:dyDescent="0.35">
      <c r="A107" s="262">
        <v>45950</v>
      </c>
      <c r="B107" s="261">
        <v>0.11070000000000001</v>
      </c>
      <c r="C107" s="261">
        <v>0.10050000000000001</v>
      </c>
      <c r="D107" s="261">
        <v>9.7699999999999995E-2</v>
      </c>
      <c r="E107" s="261">
        <v>0.10929999999999999</v>
      </c>
      <c r="F107" s="261">
        <v>0.1114</v>
      </c>
      <c r="G107" s="261">
        <v>0.1078999999999999</v>
      </c>
      <c r="H107" s="261">
        <v>0.10759999999999989</v>
      </c>
      <c r="I107" s="261">
        <v>9.6999999999999892E-2</v>
      </c>
      <c r="J107" s="261">
        <v>0.1107999999999999</v>
      </c>
      <c r="K107" s="261">
        <v>0.10719999999999991</v>
      </c>
      <c r="L107" s="262">
        <f t="shared" si="18"/>
        <v>45950</v>
      </c>
      <c r="M107" s="263">
        <v>3.5659999999999997E-2</v>
      </c>
      <c r="N107" s="260">
        <f t="shared" ref="N107:N112" si="19">B107-M107</f>
        <v>7.5040000000000009E-2</v>
      </c>
    </row>
    <row r="108" spans="1:14" ht="15" thickBot="1" x14ac:dyDescent="0.35">
      <c r="A108" s="262">
        <v>45957</v>
      </c>
      <c r="B108" s="261">
        <v>0.1065</v>
      </c>
      <c r="C108" s="261">
        <v>9.6300000000000011E-2</v>
      </c>
      <c r="D108" s="261">
        <v>9.35E-2</v>
      </c>
      <c r="E108" s="261">
        <v>0.10509999999999999</v>
      </c>
      <c r="F108" s="261">
        <v>0.10719999999999998</v>
      </c>
      <c r="G108" s="261">
        <v>0.10369999999999988</v>
      </c>
      <c r="H108" s="261">
        <v>0.10339999999999987</v>
      </c>
      <c r="I108" s="261">
        <v>9.2799999999999855E-2</v>
      </c>
      <c r="J108" s="261">
        <v>0.10659999999999986</v>
      </c>
      <c r="K108" s="261">
        <v>0.10299999999999987</v>
      </c>
      <c r="L108" s="262">
        <f t="shared" ref="L108" si="20">A108</f>
        <v>45957</v>
      </c>
      <c r="M108" s="263">
        <v>3.6040000000000003E-2</v>
      </c>
      <c r="N108" s="260">
        <f t="shared" si="19"/>
        <v>7.0459999999999995E-2</v>
      </c>
    </row>
    <row r="109" spans="1:14" ht="15" thickBot="1" x14ac:dyDescent="0.35">
      <c r="A109" s="262">
        <v>45964</v>
      </c>
      <c r="B109" s="261">
        <v>0.1104</v>
      </c>
      <c r="C109" s="261">
        <v>0.1013</v>
      </c>
      <c r="D109" s="261">
        <v>9.8699999999999996E-2</v>
      </c>
      <c r="E109" s="261">
        <v>0.11070000000000001</v>
      </c>
      <c r="F109" s="261">
        <v>0.1128</v>
      </c>
      <c r="G109" s="261">
        <v>0.1092999999999999</v>
      </c>
      <c r="H109" s="261">
        <v>0.10899999999999989</v>
      </c>
      <c r="I109" s="261">
        <v>9.8399999999999876E-2</v>
      </c>
      <c r="J109" s="261">
        <v>0.11219999999999988</v>
      </c>
      <c r="K109" s="261">
        <v>0.10859999999999989</v>
      </c>
      <c r="L109" s="262">
        <f t="shared" ref="L109" si="21">A109</f>
        <v>45964</v>
      </c>
      <c r="M109" s="263">
        <v>3.6979999999999999E-2</v>
      </c>
      <c r="N109" s="260">
        <f t="shared" si="19"/>
        <v>7.3419999999999999E-2</v>
      </c>
    </row>
    <row r="110" spans="1:14" ht="15" thickBot="1" x14ac:dyDescent="0.35">
      <c r="A110" s="262">
        <v>45971</v>
      </c>
      <c r="B110" s="261">
        <v>0.1147</v>
      </c>
      <c r="C110" s="261">
        <v>0.1037</v>
      </c>
      <c r="D110" s="261">
        <v>0.1031</v>
      </c>
      <c r="E110" s="261">
        <v>0.1147</v>
      </c>
      <c r="F110" s="261">
        <v>0.11679999999999999</v>
      </c>
      <c r="G110" s="261">
        <v>0.11329999999999989</v>
      </c>
      <c r="H110" s="261">
        <v>0.11299999999999988</v>
      </c>
      <c r="I110" s="261">
        <v>0.10239999999999987</v>
      </c>
      <c r="J110" s="261">
        <v>0.11619999999999987</v>
      </c>
      <c r="K110" s="261">
        <v>0.11259999999999988</v>
      </c>
      <c r="L110" s="262">
        <f t="shared" ref="L110" si="22">A110</f>
        <v>45971</v>
      </c>
      <c r="M110" s="263">
        <v>3.6499999999999998E-2</v>
      </c>
      <c r="N110" s="260">
        <f t="shared" si="19"/>
        <v>7.8199999999999992E-2</v>
      </c>
    </row>
    <row r="111" spans="1:14" ht="15" thickBot="1" x14ac:dyDescent="0.35">
      <c r="A111" s="262">
        <v>45978</v>
      </c>
      <c r="B111" s="261">
        <v>0.1144</v>
      </c>
      <c r="C111" s="261">
        <v>0.10390000000000001</v>
      </c>
      <c r="D111" s="261">
        <v>0.1032</v>
      </c>
      <c r="E111" s="261">
        <v>0.1139</v>
      </c>
      <c r="F111" s="261">
        <v>0.11599999999999999</v>
      </c>
      <c r="G111" s="261">
        <v>0.11249999999999989</v>
      </c>
      <c r="H111" s="261">
        <v>0.11219999999999988</v>
      </c>
      <c r="I111" s="261">
        <v>0.10159999999999987</v>
      </c>
      <c r="J111" s="261">
        <v>0.11539999999999988</v>
      </c>
      <c r="K111" s="261">
        <v>0.11179999999999989</v>
      </c>
      <c r="L111" s="262">
        <f t="shared" ref="L111" si="23">A111</f>
        <v>45978</v>
      </c>
      <c r="M111" s="263">
        <v>3.705E-2</v>
      </c>
      <c r="N111" s="260">
        <f t="shared" si="19"/>
        <v>7.7350000000000002E-2</v>
      </c>
    </row>
    <row r="112" spans="1:14" ht="15" thickBot="1" x14ac:dyDescent="0.35">
      <c r="A112" s="262">
        <v>45985</v>
      </c>
      <c r="B112" s="261">
        <v>0.1172</v>
      </c>
      <c r="C112" s="261">
        <v>0.1069</v>
      </c>
      <c r="D112" s="261">
        <v>0.10630000000000001</v>
      </c>
      <c r="E112" s="261">
        <v>0.11799999999999999</v>
      </c>
      <c r="F112" s="261">
        <v>0.12009999999999998</v>
      </c>
      <c r="G112" s="261">
        <v>0.11659999999999988</v>
      </c>
      <c r="H112" s="261">
        <v>0.11629999999999988</v>
      </c>
      <c r="I112" s="261">
        <v>0.10569999999999986</v>
      </c>
      <c r="J112" s="261">
        <v>0.11949999999999987</v>
      </c>
      <c r="K112" s="261">
        <v>0.11589999999999988</v>
      </c>
      <c r="L112" s="262">
        <f t="shared" ref="L112" si="24">A112</f>
        <v>45985</v>
      </c>
      <c r="M112" s="263">
        <v>3.6249999999999998E-2</v>
      </c>
      <c r="N112" s="260">
        <f t="shared" si="19"/>
        <v>8.0949999999999994E-2</v>
      </c>
    </row>
    <row r="113" spans="1:14" ht="15" thickBot="1" x14ac:dyDescent="0.35">
      <c r="A113" s="262">
        <v>45992</v>
      </c>
      <c r="B113" s="261">
        <v>0.10290000000000001</v>
      </c>
      <c r="C113" s="261">
        <v>9.4399999999999998E-2</v>
      </c>
      <c r="D113" s="261">
        <v>9.1700000000000004E-2</v>
      </c>
      <c r="E113" s="261">
        <v>0.1027</v>
      </c>
      <c r="F113" s="261">
        <v>0.10479999999999999</v>
      </c>
      <c r="G113" s="261">
        <v>0.10129999999999989</v>
      </c>
      <c r="H113" s="261">
        <v>0.10099999999999988</v>
      </c>
      <c r="I113" s="261">
        <v>9.0399999999999869E-2</v>
      </c>
      <c r="J113" s="261">
        <v>0.10419999999999988</v>
      </c>
      <c r="K113" s="261">
        <v>0.10059999999999988</v>
      </c>
      <c r="L113" s="262">
        <f t="shared" ref="L113" si="25">A113</f>
        <v>45992</v>
      </c>
      <c r="M113" s="263">
        <v>3.6069999999999998E-2</v>
      </c>
      <c r="N113" s="260">
        <f t="shared" ref="N113" si="26">B113-M113</f>
        <v>6.6830000000000001E-2</v>
      </c>
    </row>
    <row r="114" spans="1:14" ht="15" thickBot="1" x14ac:dyDescent="0.35">
      <c r="A114" s="262">
        <v>45999</v>
      </c>
      <c r="B114" s="261">
        <v>0.10539999999999999</v>
      </c>
      <c r="C114" s="261">
        <v>9.74E-2</v>
      </c>
      <c r="D114" s="261">
        <v>9.4700000000000006E-2</v>
      </c>
      <c r="E114" s="261">
        <v>0.1067</v>
      </c>
      <c r="F114" s="261">
        <v>0.10879999999999999</v>
      </c>
      <c r="G114" s="261">
        <v>0.10529999999999989</v>
      </c>
      <c r="H114" s="261">
        <v>0.10499999999999989</v>
      </c>
      <c r="I114" s="261">
        <v>9.4399999999999873E-2</v>
      </c>
      <c r="J114" s="261">
        <v>0.10819999999999988</v>
      </c>
      <c r="K114" s="261">
        <v>0.10459999999999989</v>
      </c>
      <c r="L114" s="262">
        <f t="shared" ref="L114" si="27">A114</f>
        <v>45999</v>
      </c>
      <c r="M114" s="263">
        <v>3.6069999999999998E-2</v>
      </c>
      <c r="N114" s="260">
        <f t="shared" ref="N114" si="28">B114-M114</f>
        <v>6.9330000000000003E-2</v>
      </c>
    </row>
    <row r="115" spans="1:14" ht="15" thickBot="1" x14ac:dyDescent="0.35">
      <c r="A115" s="262">
        <v>46006</v>
      </c>
      <c r="B115" s="261">
        <v>0.106</v>
      </c>
      <c r="C115" s="261">
        <v>9.7600000000000006E-2</v>
      </c>
      <c r="D115" s="261">
        <v>9.4700000000000006E-2</v>
      </c>
      <c r="E115" s="261">
        <v>0.1056</v>
      </c>
      <c r="F115" s="261">
        <v>0.10769999999999999</v>
      </c>
      <c r="G115" s="261">
        <v>0.10419999999999989</v>
      </c>
      <c r="H115" s="261">
        <v>0.10389999999999988</v>
      </c>
      <c r="I115" s="261">
        <v>9.3299999999999869E-2</v>
      </c>
      <c r="J115" s="261">
        <v>0.10709999999999988</v>
      </c>
      <c r="K115" s="261">
        <v>0.10349999999999988</v>
      </c>
      <c r="L115" s="262">
        <f t="shared" ref="L115" si="29">A115</f>
        <v>46006</v>
      </c>
      <c r="M115" s="263">
        <v>3.5000000000000003E-2</v>
      </c>
      <c r="N115" s="260">
        <f t="shared" ref="N115" si="30">B115-M115</f>
        <v>7.0999999999999994E-2</v>
      </c>
    </row>
    <row r="116" spans="1:14" ht="15" thickBot="1" x14ac:dyDescent="0.35">
      <c r="A116" s="262">
        <v>46013</v>
      </c>
      <c r="B116" s="261">
        <v>0.10050000000000001</v>
      </c>
      <c r="C116" s="261">
        <v>9.1800000000000007E-2</v>
      </c>
      <c r="D116" s="261">
        <v>8.9599999999999999E-2</v>
      </c>
      <c r="E116" s="261">
        <v>0.1</v>
      </c>
      <c r="F116" s="261">
        <v>0.1021</v>
      </c>
      <c r="G116" s="261">
        <v>9.8599999999999896E-2</v>
      </c>
      <c r="H116" s="261">
        <v>9.8299999999999887E-2</v>
      </c>
      <c r="I116" s="261">
        <v>8.7699999999999875E-2</v>
      </c>
      <c r="J116" s="261">
        <v>0.10149999999999988</v>
      </c>
      <c r="K116" s="261">
        <v>9.789999999999989E-2</v>
      </c>
      <c r="L116" s="262">
        <f>A116</f>
        <v>46013</v>
      </c>
      <c r="M116" s="263">
        <v>3.5000000000000003E-2</v>
      </c>
      <c r="N116" s="260">
        <f t="shared" ref="N116" si="31">B116-M116</f>
        <v>6.5500000000000003E-2</v>
      </c>
    </row>
    <row r="117" spans="1:14" ht="15" thickBot="1" x14ac:dyDescent="0.35">
      <c r="A117" s="262">
        <v>46020</v>
      </c>
      <c r="B117" s="261">
        <v>0.10059999999999999</v>
      </c>
      <c r="C117" s="261">
        <v>9.2399999999999996E-2</v>
      </c>
      <c r="D117" s="261">
        <v>8.9300000000000004E-2</v>
      </c>
      <c r="E117" s="261">
        <v>0.1011</v>
      </c>
      <c r="F117" s="261">
        <v>0.10319999999999999</v>
      </c>
      <c r="G117" s="261">
        <v>9.9699999999999886E-2</v>
      </c>
      <c r="H117" s="261">
        <v>9.9399999999999877E-2</v>
      </c>
      <c r="I117" s="261">
        <v>8.8799999999999865E-2</v>
      </c>
      <c r="J117" s="261">
        <v>0.10259999999999987</v>
      </c>
      <c r="K117" s="261">
        <v>9.899999999999988E-2</v>
      </c>
      <c r="L117" s="262">
        <f>A117</f>
        <v>46020</v>
      </c>
      <c r="M117" s="263">
        <v>3.4869999999999998E-2</v>
      </c>
      <c r="N117" s="260">
        <f t="shared" ref="N117" si="32">B117-M117</f>
        <v>6.5729999999999997E-2</v>
      </c>
    </row>
    <row r="118" spans="1:14" ht="15" thickBot="1" x14ac:dyDescent="0.35">
      <c r="A118" s="262">
        <v>46027</v>
      </c>
      <c r="B118" s="261">
        <v>0.10290000000000001</v>
      </c>
      <c r="C118" s="261">
        <v>9.4299999999999995E-2</v>
      </c>
      <c r="D118" s="261">
        <v>9.2200000000000004E-2</v>
      </c>
      <c r="E118" s="261">
        <v>0.10349999999999999</v>
      </c>
      <c r="F118" s="261">
        <v>0.10559999999999999</v>
      </c>
      <c r="G118" s="261">
        <v>0.10209999999999989</v>
      </c>
      <c r="H118" s="261">
        <v>0.10179999999999988</v>
      </c>
      <c r="I118" s="261">
        <v>9.1199999999999865E-2</v>
      </c>
      <c r="J118" s="261">
        <v>0.10499999999999987</v>
      </c>
      <c r="K118" s="261">
        <v>0.10139999999999988</v>
      </c>
      <c r="L118" s="262">
        <f>A118</f>
        <v>46027</v>
      </c>
      <c r="M118" s="263">
        <v>3.4720000000000001E-2</v>
      </c>
      <c r="N118" s="260">
        <f t="shared" ref="N118" si="33">B118-M118</f>
        <v>6.8180000000000004E-2</v>
      </c>
    </row>
    <row r="119" spans="1:14" ht="15" thickBot="1" x14ac:dyDescent="0.35">
      <c r="A119" s="262">
        <v>46034</v>
      </c>
      <c r="B119" s="261">
        <v>0.10150000000000001</v>
      </c>
      <c r="C119" s="261">
        <v>9.3200000000000005E-2</v>
      </c>
      <c r="D119" s="261">
        <v>8.9700000000000002E-2</v>
      </c>
      <c r="E119" s="261">
        <v>0.1018</v>
      </c>
      <c r="F119" s="261">
        <v>0.10389999999999999</v>
      </c>
      <c r="G119" s="261">
        <v>0.10039999999999989</v>
      </c>
      <c r="H119" s="261">
        <v>0.10009999999999988</v>
      </c>
      <c r="I119" s="261">
        <v>8.9499999999999871E-2</v>
      </c>
      <c r="J119" s="261">
        <v>0.10329999999999988</v>
      </c>
      <c r="K119" s="261">
        <v>9.9699999999999886E-2</v>
      </c>
      <c r="L119" s="262">
        <f>A119</f>
        <v>46034</v>
      </c>
      <c r="M119" s="263">
        <v>3.5209999999999998E-2</v>
      </c>
      <c r="N119" s="260">
        <f t="shared" ref="N119" si="34">B119-M119</f>
        <v>6.6290000000000016E-2</v>
      </c>
    </row>
  </sheetData>
  <mergeCells count="1">
    <mergeCell ref="B1:K1"/>
  </mergeCells>
  <conditionalFormatting sqref="B1:B1048576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">
    <cfRule type="colorScale" priority="3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B4">
    <cfRule type="colorScale" priority="4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B38">
    <cfRule type="colorScale" priority="4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B86 B88:B119">
    <cfRule type="colorScale" priority="5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">
    <cfRule type="colorScale" priority="4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B38">
    <cfRule type="colorScale" priority="4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B86 B88:B119">
    <cfRule type="colorScale" priority="6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K86 B88:K1048576"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:K83">
    <cfRule type="colorScale" priority="6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4:K84">
    <cfRule type="colorScale" priority="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5:K85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6:K86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">
    <cfRule type="colorScale" priority="5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4">
    <cfRule type="colorScale" priority="49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54 D54:K54 C55:K55">
    <cfRule type="colorScale" priority="4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66 D62:K66 C67:K83">
    <cfRule type="colorScale" priority="5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">
    <cfRule type="colorScale" priority="5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C38">
    <cfRule type="colorScale" priority="4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C66 D62:K66 C67:K83">
    <cfRule type="colorScale" priority="50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4:K84"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5:K85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6:K86"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">
    <cfRule type="colorScale" priority="5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4">
    <cfRule type="colorScale" priority="5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86 D88:D119">
    <cfRule type="colorScale" priority="6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">
    <cfRule type="colorScale" priority="5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86 D88:D119">
    <cfRule type="colorScale" priority="6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">
    <cfRule type="colorScale" priority="5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4">
    <cfRule type="colorScale" priority="5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53">
    <cfRule type="colorScale" priority="5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86 E88:E119">
    <cfRule type="colorScale" priority="6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">
    <cfRule type="colorScale" priority="5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4">
    <cfRule type="colorScale" priority="5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68 G68:K68 F69:K83">
    <cfRule type="colorScale" priority="5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">
    <cfRule type="colorScale" priority="5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68 G68:K68 F69:K83">
    <cfRule type="colorScale" priority="5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20:F1048576 F1:F89 G89:K89 F90:K119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K1048576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4:K84"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5:K85"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6:K86"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">
    <cfRule type="colorScale" priority="4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4">
    <cfRule type="colorScale" priority="4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8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8">
    <cfRule type="colorScale" priority="4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53">
    <cfRule type="colorScale" priority="4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80 H80:K80 G81:K83">
    <cfRule type="colorScale" priority="6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">
    <cfRule type="colorScale" priority="4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38">
    <cfRule type="colorScale" priority="4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7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80 H80:K80 G81:K83">
    <cfRule type="colorScale" priority="6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7:K67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8:K68">
    <cfRule type="colorScale" priority="1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9:K69">
    <cfRule type="colorScale" priority="1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0:K70">
    <cfRule type="colorScale" priority="18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1:K71">
    <cfRule type="colorScale" priority="18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2:K72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3:K73">
    <cfRule type="colorScale" priority="1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4:K74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4:K84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5:K85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6:K86"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">
    <cfRule type="colorScale" priority="4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4">
    <cfRule type="colorScale" priority="4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8">
    <cfRule type="colorScale" priority="4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53">
    <cfRule type="colorScale" priority="4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86 H88:H119">
    <cfRule type="colorScale" priority="6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">
    <cfRule type="colorScale" priority="4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38">
    <cfRule type="colorScale" priority="4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86 H88:H119">
    <cfRule type="colorScale" priority="6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">
    <cfRule type="colorScale" priority="37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5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4">
    <cfRule type="colorScale" priority="3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8">
    <cfRule type="colorScale" priority="3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53">
    <cfRule type="colorScale" priority="3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86 I88:I119">
    <cfRule type="colorScale" priority="6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">
    <cfRule type="colorScale" priority="38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6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38">
    <cfRule type="colorScale" priority="3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53">
    <cfRule type="colorScale" priority="36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86 I88:I119">
    <cfRule type="colorScale" priority="6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K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">
    <cfRule type="colorScale" priority="3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5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4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4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8">
    <cfRule type="colorScale" priority="3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53">
    <cfRule type="colorScale" priority="2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86 J88:J97 K97 J98:K98">
    <cfRule type="colorScale" priority="6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">
    <cfRule type="colorScale" priority="2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J38">
    <cfRule type="colorScale" priority="33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J53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J86 J88:J97 K97 J98:K98">
    <cfRule type="colorScale" priority="6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20:J1048576 J1:J97 K97 J98:K119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K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9:K99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0:K100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1:K101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2:K102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3:K104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5:K105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6:K106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7:K107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8:K108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9:K109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0:K110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1:K111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2:K112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3:K113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4:K114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5:K11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6:K11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7:K11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8:K11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9:K1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">
    <cfRule type="colorScale" priority="54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4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4">
    <cfRule type="colorScale" priority="5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53"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">
    <cfRule type="colorScale" priority="5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K86 K88:K119">
    <cfRule type="colorScale" priority="6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5">
    <cfRule type="colorScale" priority="2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M6">
    <cfRule type="colorScale" priority="2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7">
    <cfRule type="colorScale" priority="2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86 M88:M119">
    <cfRule type="colorScale" priority="6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86 N88:N119">
    <cfRule type="colorScale" priority="6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A05A1-11F8-4C1B-AF07-828BEAAB9371}">
  <dimension ref="A1:X116"/>
  <sheetViews>
    <sheetView zoomScaleNormal="100" workbookViewId="0">
      <pane xSplit="1" ySplit="3" topLeftCell="B87" activePane="bottomRight" state="frozen"/>
      <selection pane="topRight" activeCell="B1" sqref="B1"/>
      <selection pane="bottomLeft" activeCell="A4" sqref="A4"/>
      <selection pane="bottomRight" activeCell="A2" sqref="A2:X116"/>
    </sheetView>
  </sheetViews>
  <sheetFormatPr defaultRowHeight="14.4" x14ac:dyDescent="0.3"/>
  <cols>
    <col min="1" max="1" width="9.33203125" bestFit="1" customWidth="1"/>
    <col min="3" max="3" width="9.5546875" customWidth="1"/>
    <col min="20" max="20" width="9.33203125" bestFit="1" customWidth="1"/>
  </cols>
  <sheetData>
    <row r="1" spans="1:24" ht="15" thickBot="1" x14ac:dyDescent="0.35"/>
    <row r="2" spans="1:24" ht="21" customHeight="1" x14ac:dyDescent="0.4">
      <c r="A2" s="302"/>
      <c r="B2" s="303"/>
      <c r="C2" s="304"/>
      <c r="D2" s="304" t="s">
        <v>12</v>
      </c>
      <c r="E2" s="304"/>
      <c r="F2" s="305"/>
      <c r="H2" s="302"/>
      <c r="I2" s="306"/>
      <c r="J2" s="304"/>
      <c r="K2" s="304"/>
      <c r="L2" s="304"/>
      <c r="M2" s="304" t="s">
        <v>13</v>
      </c>
      <c r="N2" s="304"/>
      <c r="O2" s="304"/>
      <c r="P2" s="304"/>
      <c r="Q2" s="304"/>
      <c r="R2" s="305"/>
      <c r="T2" s="302"/>
      <c r="U2" s="303"/>
      <c r="V2" s="304" t="s">
        <v>14</v>
      </c>
      <c r="W2" s="304"/>
      <c r="X2" s="305"/>
    </row>
    <row r="3" spans="1:24" x14ac:dyDescent="0.3">
      <c r="A3" s="264" t="s">
        <v>0</v>
      </c>
      <c r="B3" s="264" t="s">
        <v>15</v>
      </c>
      <c r="C3" s="264" t="s">
        <v>16</v>
      </c>
      <c r="D3" s="264" t="s">
        <v>17</v>
      </c>
      <c r="E3" s="264" t="s">
        <v>18</v>
      </c>
      <c r="F3" s="264" t="s">
        <v>19</v>
      </c>
      <c r="H3" s="264" t="s">
        <v>0</v>
      </c>
      <c r="I3" s="264" t="s">
        <v>20</v>
      </c>
      <c r="J3" s="264" t="s">
        <v>21</v>
      </c>
      <c r="K3" s="264" t="s">
        <v>22</v>
      </c>
      <c r="L3" s="264" t="s">
        <v>23</v>
      </c>
      <c r="M3" s="264" t="s">
        <v>24</v>
      </c>
      <c r="N3" s="264" t="s">
        <v>25</v>
      </c>
      <c r="O3" s="264" t="s">
        <v>26</v>
      </c>
      <c r="P3" s="264" t="s">
        <v>27</v>
      </c>
      <c r="Q3" s="264" t="s">
        <v>28</v>
      </c>
      <c r="R3" s="264" t="s">
        <v>29</v>
      </c>
      <c r="T3" s="264" t="s">
        <v>0</v>
      </c>
      <c r="U3" s="264" t="s">
        <v>30</v>
      </c>
      <c r="V3" s="264" t="s">
        <v>31</v>
      </c>
      <c r="W3" s="264" t="s">
        <v>32</v>
      </c>
      <c r="X3" s="264" t="s">
        <v>33</v>
      </c>
    </row>
    <row r="4" spans="1:24" ht="15" hidden="1" customHeight="1" x14ac:dyDescent="0.3">
      <c r="A4" s="265">
        <v>44609</v>
      </c>
      <c r="B4" s="6">
        <v>0.22309999999999999</v>
      </c>
      <c r="C4" s="6">
        <v>0.1981</v>
      </c>
      <c r="D4" s="6">
        <v>0.29349999999999998</v>
      </c>
      <c r="E4" s="6">
        <v>0.29170000000000001</v>
      </c>
      <c r="F4" s="6">
        <v>0.23930000000000001</v>
      </c>
      <c r="H4" s="265">
        <v>44609</v>
      </c>
      <c r="I4" s="7">
        <v>0.76880000000000004</v>
      </c>
      <c r="J4" s="7">
        <v>0.86950000000000005</v>
      </c>
      <c r="K4" s="7">
        <v>0.89610000000000001</v>
      </c>
      <c r="L4" s="7">
        <v>0.62839999999999996</v>
      </c>
      <c r="M4" s="7">
        <v>0.71909999999999996</v>
      </c>
      <c r="N4" s="7">
        <v>0.79479999999999995</v>
      </c>
      <c r="O4" s="7">
        <v>0.53820000000000001</v>
      </c>
      <c r="P4" s="7">
        <v>0.69730000000000003</v>
      </c>
      <c r="Q4" s="7">
        <v>0.73970000000000002</v>
      </c>
      <c r="R4" s="7">
        <v>0.76080000000000003</v>
      </c>
      <c r="T4" s="265">
        <v>44609</v>
      </c>
      <c r="U4" s="6">
        <v>9.9000000000000008E-3</v>
      </c>
      <c r="V4" s="6">
        <v>1.52E-2</v>
      </c>
      <c r="W4" s="6">
        <v>1.7600000000000001E-2</v>
      </c>
      <c r="X4" s="6">
        <v>1.9199999999999998E-2</v>
      </c>
    </row>
    <row r="5" spans="1:24" ht="15" hidden="1" customHeight="1" x14ac:dyDescent="0.3">
      <c r="A5" s="265">
        <v>44637</v>
      </c>
      <c r="B5" s="8">
        <v>0.20780000000000001</v>
      </c>
      <c r="C5" s="9">
        <v>0.1837</v>
      </c>
      <c r="D5" s="10">
        <v>0.2666</v>
      </c>
      <c r="E5" s="11">
        <v>0.24959999999999999</v>
      </c>
      <c r="F5" s="6">
        <v>0.28860000000000002</v>
      </c>
      <c r="H5" s="265">
        <v>44637</v>
      </c>
      <c r="I5" s="12">
        <v>0.69240000000000002</v>
      </c>
      <c r="J5" s="6">
        <v>0.85060000000000002</v>
      </c>
      <c r="K5" s="13">
        <v>0.87250000000000005</v>
      </c>
      <c r="L5" s="14">
        <v>0.53659999999999997</v>
      </c>
      <c r="M5" s="15">
        <v>0.64939999999999998</v>
      </c>
      <c r="N5" s="16">
        <v>0.71660000000000001</v>
      </c>
      <c r="O5" s="6">
        <v>0.34789999999999999</v>
      </c>
      <c r="P5" s="17">
        <v>0.52710000000000001</v>
      </c>
      <c r="Q5" s="18">
        <v>0.58360000000000001</v>
      </c>
      <c r="R5" s="19">
        <v>0.63619999999999999</v>
      </c>
      <c r="T5" s="265">
        <v>44637</v>
      </c>
      <c r="U5" s="20">
        <v>1.1899999999999999E-2</v>
      </c>
      <c r="V5" s="21">
        <v>1.9299999999999998E-2</v>
      </c>
      <c r="W5" s="22">
        <v>2.1400000000000002E-2</v>
      </c>
      <c r="X5" s="21">
        <v>2.18E-2</v>
      </c>
    </row>
    <row r="6" spans="1:24" ht="15" hidden="1" customHeight="1" x14ac:dyDescent="0.3">
      <c r="A6" s="265">
        <v>44665</v>
      </c>
      <c r="B6" s="23">
        <v>0.186</v>
      </c>
      <c r="C6" s="24">
        <v>0.1817</v>
      </c>
      <c r="D6" s="25">
        <v>0.2427</v>
      </c>
      <c r="E6" s="26">
        <v>0.2581</v>
      </c>
      <c r="F6" s="27">
        <v>0.2293</v>
      </c>
      <c r="H6" s="265">
        <v>44665</v>
      </c>
      <c r="I6" s="6">
        <v>0.6875</v>
      </c>
      <c r="J6" s="28">
        <v>0.85329999999999995</v>
      </c>
      <c r="K6" s="29">
        <v>0.86870000000000003</v>
      </c>
      <c r="L6" s="30">
        <v>0.51749999999999996</v>
      </c>
      <c r="M6" s="6">
        <v>0.63619999999999999</v>
      </c>
      <c r="N6" s="31">
        <v>0.69669999999999999</v>
      </c>
      <c r="O6" s="32">
        <v>0.35110000000000002</v>
      </c>
      <c r="P6" s="33">
        <v>0.57169999999999999</v>
      </c>
      <c r="Q6" s="34">
        <v>0.52739999999999998</v>
      </c>
      <c r="R6" s="35">
        <v>0.64790000000000003</v>
      </c>
      <c r="T6" s="265">
        <v>44665</v>
      </c>
      <c r="U6" s="36">
        <v>1.66E-2</v>
      </c>
      <c r="V6" s="37">
        <v>2.35E-2</v>
      </c>
      <c r="W6" s="38">
        <v>2.5600000000000001E-2</v>
      </c>
      <c r="X6" s="266">
        <v>2.6499999999999999E-2</v>
      </c>
    </row>
    <row r="7" spans="1:24" ht="15" hidden="1" customHeight="1" x14ac:dyDescent="0.3">
      <c r="A7" s="265">
        <v>44693</v>
      </c>
      <c r="B7" s="39">
        <v>0.29980000000000001</v>
      </c>
      <c r="C7" s="6">
        <v>0.30520000000000003</v>
      </c>
      <c r="D7" s="40">
        <v>0.35339999999999999</v>
      </c>
      <c r="E7" s="6">
        <v>0.39219999999999999</v>
      </c>
      <c r="F7" s="280">
        <v>0.2833</v>
      </c>
      <c r="H7" s="265">
        <v>44693</v>
      </c>
      <c r="I7" s="41">
        <v>0.6885</v>
      </c>
      <c r="J7" s="28">
        <v>0.85340000000000005</v>
      </c>
      <c r="K7" s="6">
        <v>0.86070000000000002</v>
      </c>
      <c r="L7" s="6">
        <v>0.51229999999999998</v>
      </c>
      <c r="M7" s="41">
        <v>0.63749999999999996</v>
      </c>
      <c r="N7" s="6">
        <v>0.6925</v>
      </c>
      <c r="O7" s="28">
        <v>0.35610000000000003</v>
      </c>
      <c r="P7" s="42">
        <v>0.57140000000000002</v>
      </c>
      <c r="Q7" s="43">
        <v>0.52629999999999999</v>
      </c>
      <c r="R7" s="35">
        <v>0.64780000000000004</v>
      </c>
      <c r="T7" s="265">
        <v>44693</v>
      </c>
      <c r="U7" s="44">
        <v>1.9E-2</v>
      </c>
      <c r="V7" s="45">
        <v>2.64E-2</v>
      </c>
      <c r="W7" s="46">
        <v>2.8300000000000002E-2</v>
      </c>
      <c r="X7" s="47">
        <v>2.8999999999999998E-2</v>
      </c>
    </row>
    <row r="8" spans="1:24" ht="15" hidden="1" customHeight="1" x14ac:dyDescent="0.3">
      <c r="A8" s="265">
        <v>44727</v>
      </c>
      <c r="B8" s="48">
        <v>0.27850000000000003</v>
      </c>
      <c r="C8" s="49">
        <v>0.23400000000000001</v>
      </c>
      <c r="D8" s="50">
        <v>0.3301</v>
      </c>
      <c r="E8" s="51">
        <v>0.34699999999999998</v>
      </c>
      <c r="F8" s="50">
        <v>0.26469999999999999</v>
      </c>
      <c r="H8" s="265">
        <v>44727</v>
      </c>
      <c r="I8" s="52">
        <v>0.73270000000000002</v>
      </c>
      <c r="J8" s="53">
        <v>0.89429999999999998</v>
      </c>
      <c r="K8" s="54">
        <v>0.87829999999999997</v>
      </c>
      <c r="L8" s="55">
        <v>0.64890000000000003</v>
      </c>
      <c r="M8" s="34">
        <v>0.71660000000000001</v>
      </c>
      <c r="N8" s="56">
        <v>0.71909999999999996</v>
      </c>
      <c r="O8" s="57">
        <v>0.44769999999999999</v>
      </c>
      <c r="P8" s="58">
        <v>0.5927</v>
      </c>
      <c r="Q8" s="59">
        <v>0.52880000000000005</v>
      </c>
      <c r="R8" s="60">
        <v>0.65410000000000001</v>
      </c>
      <c r="T8" s="265">
        <v>44727</v>
      </c>
      <c r="U8" s="61">
        <v>2.9700000000000001E-2</v>
      </c>
      <c r="V8" s="62">
        <v>3.4300000000000004E-2</v>
      </c>
      <c r="W8" s="63">
        <v>3.5900000000000001E-2</v>
      </c>
      <c r="X8" s="267">
        <v>3.5900000000000001E-2</v>
      </c>
    </row>
    <row r="9" spans="1:24" ht="15" hidden="1" customHeight="1" x14ac:dyDescent="0.3">
      <c r="A9" s="265">
        <v>44755</v>
      </c>
      <c r="B9" s="64">
        <v>0.25280000000000002</v>
      </c>
      <c r="C9" s="65">
        <v>0.21690000000000001</v>
      </c>
      <c r="D9" s="64">
        <v>0.30470000000000003</v>
      </c>
      <c r="E9" s="49">
        <v>0.32019999999999998</v>
      </c>
      <c r="F9" s="48">
        <v>0.2651</v>
      </c>
      <c r="H9" s="265">
        <v>44755</v>
      </c>
      <c r="I9" s="66">
        <v>0.7238</v>
      </c>
      <c r="J9" s="67">
        <v>0.89270000000000005</v>
      </c>
      <c r="K9" s="68">
        <v>0.87719999999999998</v>
      </c>
      <c r="L9" s="69">
        <v>0.6411</v>
      </c>
      <c r="M9" s="70">
        <v>0.71240000000000003</v>
      </c>
      <c r="N9" s="71">
        <v>0.70809999999999995</v>
      </c>
      <c r="O9" s="72">
        <v>0.39989999999999998</v>
      </c>
      <c r="P9" s="73">
        <v>0.55579999999999996</v>
      </c>
      <c r="Q9" s="74">
        <v>0.5</v>
      </c>
      <c r="R9" s="34">
        <v>0.62649999999999995</v>
      </c>
      <c r="T9" s="265">
        <v>44755</v>
      </c>
      <c r="U9" s="75">
        <v>2.92E-2</v>
      </c>
      <c r="V9" s="47">
        <v>3.0499999999999999E-2</v>
      </c>
      <c r="W9" s="76">
        <v>3.0800000000000001E-2</v>
      </c>
      <c r="X9" s="268">
        <v>3.0200000000000001E-2</v>
      </c>
    </row>
    <row r="10" spans="1:24" ht="15" hidden="1" customHeight="1" x14ac:dyDescent="0.3">
      <c r="A10" s="265">
        <v>44790</v>
      </c>
      <c r="B10" s="77">
        <v>0.183</v>
      </c>
      <c r="C10" s="34">
        <v>0.15790000000000001</v>
      </c>
      <c r="D10" s="78">
        <v>0.23649999999999999</v>
      </c>
      <c r="E10" s="34">
        <v>0.24340000000000001</v>
      </c>
      <c r="F10" s="281">
        <v>0.19769999999999999</v>
      </c>
      <c r="H10" s="265">
        <v>44790</v>
      </c>
      <c r="I10" s="79">
        <v>0.7268</v>
      </c>
      <c r="J10" s="80">
        <v>0.89770000000000005</v>
      </c>
      <c r="K10" s="81">
        <v>0.88170000000000004</v>
      </c>
      <c r="L10" s="82">
        <v>0.6512</v>
      </c>
      <c r="M10" s="83">
        <v>0.72309999999999997</v>
      </c>
      <c r="N10" s="84">
        <v>0.71379999999999999</v>
      </c>
      <c r="O10" s="85">
        <v>0.44</v>
      </c>
      <c r="P10" s="86">
        <v>0.57640000000000002</v>
      </c>
      <c r="Q10" s="87">
        <v>0.51819999999999999</v>
      </c>
      <c r="R10" s="88">
        <v>0.63449999999999995</v>
      </c>
      <c r="T10" s="265">
        <v>44790</v>
      </c>
      <c r="U10" s="76">
        <v>3.2500000000000001E-2</v>
      </c>
      <c r="V10" s="89">
        <v>3.2599999999999997E-2</v>
      </c>
      <c r="W10" s="90">
        <v>3.2000000000000001E-2</v>
      </c>
      <c r="X10" s="269">
        <v>2.9500000000000002E-2</v>
      </c>
    </row>
    <row r="11" spans="1:24" ht="15" hidden="1" customHeight="1" x14ac:dyDescent="0.3">
      <c r="A11" s="265">
        <v>44818</v>
      </c>
      <c r="B11" s="91">
        <v>0.25059999999999999</v>
      </c>
      <c r="C11" s="92">
        <v>0.22059999999999999</v>
      </c>
      <c r="D11" s="93">
        <v>0.28849999999999998</v>
      </c>
      <c r="E11" s="27">
        <v>0.31340000000000001</v>
      </c>
      <c r="F11" s="64">
        <v>0.2409</v>
      </c>
      <c r="H11" s="265">
        <v>44818</v>
      </c>
      <c r="I11" s="94">
        <v>0.7359</v>
      </c>
      <c r="J11" s="95">
        <v>0.8982</v>
      </c>
      <c r="K11" s="83">
        <v>0.88239999999999996</v>
      </c>
      <c r="L11" s="70">
        <v>0.66869999999999996</v>
      </c>
      <c r="M11" s="96">
        <v>0.7248</v>
      </c>
      <c r="N11" s="97">
        <v>0.71760000000000002</v>
      </c>
      <c r="O11" s="13">
        <v>0.48780000000000001</v>
      </c>
      <c r="P11" s="98">
        <v>0.61309999999999998</v>
      </c>
      <c r="Q11" s="99">
        <v>0.52549999999999997</v>
      </c>
      <c r="R11" s="18">
        <v>0.66220000000000001</v>
      </c>
      <c r="T11" s="265">
        <v>44818</v>
      </c>
      <c r="U11" s="100">
        <v>3.8399999999999997E-2</v>
      </c>
      <c r="V11" s="101">
        <v>3.7599999999999995E-2</v>
      </c>
      <c r="W11" s="102">
        <v>3.7599999999999995E-2</v>
      </c>
      <c r="X11" s="267">
        <v>3.5799999999999998E-2</v>
      </c>
    </row>
    <row r="12" spans="1:24" ht="15" hidden="1" customHeight="1" x14ac:dyDescent="0.3">
      <c r="A12" s="265">
        <v>44847</v>
      </c>
      <c r="B12" s="6">
        <v>0.3024</v>
      </c>
      <c r="C12" s="103">
        <v>0.26840000000000003</v>
      </c>
      <c r="D12" s="6">
        <v>0.35680000000000001</v>
      </c>
      <c r="E12" s="104">
        <v>0.37259999999999999</v>
      </c>
      <c r="F12" s="282">
        <v>0.28089999999999998</v>
      </c>
      <c r="H12" s="265">
        <v>44847</v>
      </c>
      <c r="I12" s="57">
        <v>0.73419999999999996</v>
      </c>
      <c r="J12" s="105">
        <v>0.9002</v>
      </c>
      <c r="K12" s="106">
        <v>0.88090000000000002</v>
      </c>
      <c r="L12" s="59">
        <v>0.67749999999999999</v>
      </c>
      <c r="M12" s="107">
        <v>0.72689999999999999</v>
      </c>
      <c r="N12" s="108">
        <v>0.71030000000000004</v>
      </c>
      <c r="O12" s="109">
        <v>0.47939999999999999</v>
      </c>
      <c r="P12" s="110">
        <v>0.60370000000000001</v>
      </c>
      <c r="Q12" s="111">
        <v>0.51280000000000003</v>
      </c>
      <c r="R12" s="112">
        <v>0.65329999999999999</v>
      </c>
      <c r="T12" s="265">
        <v>44847</v>
      </c>
      <c r="U12" s="113">
        <v>4.2300000000000004E-2</v>
      </c>
      <c r="V12" s="114">
        <v>4.2900000000000001E-2</v>
      </c>
      <c r="W12" s="115">
        <v>4.3099999999999999E-2</v>
      </c>
      <c r="X12" s="116">
        <v>4.1200000000000001E-2</v>
      </c>
    </row>
    <row r="13" spans="1:24" ht="15" hidden="1" customHeight="1" x14ac:dyDescent="0.3">
      <c r="A13" s="265">
        <v>44881</v>
      </c>
      <c r="B13" s="117">
        <v>0.2424</v>
      </c>
      <c r="C13" s="118">
        <v>0.2268</v>
      </c>
      <c r="D13" s="93">
        <v>0.28860000000000002</v>
      </c>
      <c r="E13" s="119">
        <v>0.30220000000000002</v>
      </c>
      <c r="F13" s="283">
        <v>0.20549999999999999</v>
      </c>
      <c r="H13" s="265">
        <v>44881</v>
      </c>
      <c r="I13" s="120">
        <v>0.74219999999999997</v>
      </c>
      <c r="J13" s="34">
        <v>0.90200000000000002</v>
      </c>
      <c r="K13" s="121">
        <v>0.87290000000000001</v>
      </c>
      <c r="L13" s="34">
        <v>0.67720000000000002</v>
      </c>
      <c r="M13" s="122">
        <v>0.71899999999999997</v>
      </c>
      <c r="N13" s="52">
        <v>0.72789999999999999</v>
      </c>
      <c r="O13" s="105">
        <v>0.48859999999999998</v>
      </c>
      <c r="P13" s="88">
        <v>0.59570000000000001</v>
      </c>
      <c r="Q13" s="123">
        <v>0.50060000000000004</v>
      </c>
      <c r="R13" s="58">
        <v>0.63009999999999999</v>
      </c>
      <c r="T13" s="265">
        <v>44881</v>
      </c>
      <c r="U13" s="124">
        <v>4.7100000000000003E-2</v>
      </c>
      <c r="V13" s="125">
        <v>4.6500000000000007E-2</v>
      </c>
      <c r="W13" s="126">
        <v>4.5599999999999995E-2</v>
      </c>
      <c r="X13" s="270">
        <v>4.2900000000000001E-2</v>
      </c>
    </row>
    <row r="14" spans="1:24" ht="15" hidden="1" customHeight="1" x14ac:dyDescent="0.3">
      <c r="A14" s="265">
        <v>44910</v>
      </c>
      <c r="B14" s="127">
        <v>0.19939999999999999</v>
      </c>
      <c r="C14" s="128">
        <v>0.1663</v>
      </c>
      <c r="D14" s="129">
        <v>0.23130000000000001</v>
      </c>
      <c r="E14" s="130">
        <v>0.2452</v>
      </c>
      <c r="F14" s="34">
        <v>0.17630000000000001</v>
      </c>
      <c r="H14" s="265">
        <v>44910</v>
      </c>
      <c r="I14" s="131">
        <v>0.73929999999999996</v>
      </c>
      <c r="J14" s="132">
        <v>0.90620000000000001</v>
      </c>
      <c r="K14" s="88">
        <v>0.87429999999999997</v>
      </c>
      <c r="L14" s="133">
        <v>0.67800000000000005</v>
      </c>
      <c r="M14" s="134">
        <v>0.72850000000000004</v>
      </c>
      <c r="N14" s="29">
        <v>0.7278</v>
      </c>
      <c r="O14" s="112">
        <v>0.503</v>
      </c>
      <c r="P14" s="135">
        <v>0.60070000000000001</v>
      </c>
      <c r="Q14" s="136">
        <v>0.5071</v>
      </c>
      <c r="R14" s="137">
        <v>0.63529999999999998</v>
      </c>
      <c r="T14" s="265">
        <v>44910</v>
      </c>
      <c r="U14" s="138">
        <v>4.58E-2</v>
      </c>
      <c r="V14" s="139">
        <v>4.2099999999999999E-2</v>
      </c>
      <c r="W14" s="140">
        <v>3.9100000000000003E-2</v>
      </c>
      <c r="X14" s="271">
        <v>3.61E-2</v>
      </c>
    </row>
    <row r="15" spans="1:24" ht="15" hidden="1" customHeight="1" x14ac:dyDescent="0.3">
      <c r="A15" s="265">
        <v>44943</v>
      </c>
      <c r="B15" s="141">
        <v>0.1976</v>
      </c>
      <c r="C15" s="26">
        <v>0.1724</v>
      </c>
      <c r="D15" s="130">
        <v>0.2349</v>
      </c>
      <c r="E15" s="142">
        <v>0.2621</v>
      </c>
      <c r="F15" s="143">
        <v>0.16739999999999999</v>
      </c>
      <c r="H15" s="265">
        <v>44943</v>
      </c>
      <c r="I15" s="60">
        <v>0.76239999999999997</v>
      </c>
      <c r="J15" s="96">
        <v>0.90869999999999995</v>
      </c>
      <c r="K15" s="144">
        <v>0.87160000000000004</v>
      </c>
      <c r="L15" s="145">
        <v>0.70489999999999997</v>
      </c>
      <c r="M15" s="146">
        <v>0.72470000000000001</v>
      </c>
      <c r="N15" s="147">
        <v>0.74219999999999997</v>
      </c>
      <c r="O15" s="148">
        <v>0.5242</v>
      </c>
      <c r="P15" s="112">
        <v>0.61029999999999995</v>
      </c>
      <c r="Q15" s="149">
        <v>0.51790000000000003</v>
      </c>
      <c r="R15" s="70">
        <v>0.61770000000000003</v>
      </c>
      <c r="T15" s="265">
        <v>44943</v>
      </c>
      <c r="U15" s="140">
        <v>4.7E-2</v>
      </c>
      <c r="V15" s="140">
        <v>4.2199999999999994E-2</v>
      </c>
      <c r="W15" s="140">
        <v>3.9100000000000003E-2</v>
      </c>
      <c r="X15" s="140">
        <v>3.6600000000000001E-2</v>
      </c>
    </row>
    <row r="16" spans="1:24" ht="15" hidden="1" customHeight="1" x14ac:dyDescent="0.3">
      <c r="A16" s="265">
        <v>44974</v>
      </c>
      <c r="B16" s="34">
        <v>0.18690000000000001</v>
      </c>
      <c r="C16" s="150">
        <v>0.1512</v>
      </c>
      <c r="D16" s="151">
        <v>0.21640000000000001</v>
      </c>
      <c r="E16" s="152">
        <v>0.2412</v>
      </c>
      <c r="F16" s="284">
        <v>0.1668</v>
      </c>
      <c r="H16" s="265">
        <v>44974</v>
      </c>
      <c r="I16" s="34">
        <v>0.75600000000000001</v>
      </c>
      <c r="J16" s="153">
        <v>0.90890000000000004</v>
      </c>
      <c r="K16" s="29">
        <v>0.86870000000000003</v>
      </c>
      <c r="L16" s="154">
        <v>0.6996</v>
      </c>
      <c r="M16" s="155">
        <v>0.72070000000000001</v>
      </c>
      <c r="N16" s="70">
        <v>0.74350000000000005</v>
      </c>
      <c r="O16" s="156">
        <v>0.51349999999999996</v>
      </c>
      <c r="P16" s="133">
        <v>0.5917</v>
      </c>
      <c r="Q16" s="157">
        <v>0.51529999999999998</v>
      </c>
      <c r="R16" s="13">
        <v>0.61929999999999996</v>
      </c>
      <c r="T16" s="265">
        <v>44974</v>
      </c>
      <c r="U16" s="116">
        <v>4.99E-2</v>
      </c>
      <c r="V16" s="158">
        <v>4.6300000000000001E-2</v>
      </c>
      <c r="W16" s="159">
        <v>4.3299999999999998E-2</v>
      </c>
      <c r="X16" s="272">
        <v>4.0500000000000001E-2</v>
      </c>
    </row>
    <row r="17" spans="1:24" ht="15" hidden="1" customHeight="1" x14ac:dyDescent="0.3">
      <c r="A17" s="265">
        <v>45005</v>
      </c>
      <c r="B17" s="160">
        <v>0.2349</v>
      </c>
      <c r="C17" s="161">
        <v>0.19370000000000001</v>
      </c>
      <c r="D17" s="162">
        <v>0.2913</v>
      </c>
      <c r="E17" s="127">
        <v>0.25869999999999999</v>
      </c>
      <c r="F17" s="285">
        <v>0.25609999999999999</v>
      </c>
      <c r="H17" s="265">
        <v>45005</v>
      </c>
      <c r="I17" s="163">
        <v>0.75990000000000002</v>
      </c>
      <c r="J17" s="164">
        <v>0.90810000000000002</v>
      </c>
      <c r="K17" s="165">
        <v>0.86760000000000004</v>
      </c>
      <c r="L17" s="166">
        <v>0.70120000000000005</v>
      </c>
      <c r="M17" s="13">
        <v>0.71340000000000003</v>
      </c>
      <c r="N17" s="167">
        <v>0.75060000000000004</v>
      </c>
      <c r="O17" s="168">
        <v>0.50029999999999997</v>
      </c>
      <c r="P17" s="34">
        <v>0.58979999999999999</v>
      </c>
      <c r="Q17" s="169">
        <v>0.53510000000000002</v>
      </c>
      <c r="R17" s="70">
        <v>0.61809999999999998</v>
      </c>
      <c r="T17" s="265">
        <v>45005</v>
      </c>
      <c r="U17" s="170">
        <v>4.2599999999999999E-2</v>
      </c>
      <c r="V17" s="171">
        <v>3.9199999999999999E-2</v>
      </c>
      <c r="W17" s="172">
        <v>3.78E-2</v>
      </c>
      <c r="X17" s="172">
        <v>3.56E-2</v>
      </c>
    </row>
    <row r="18" spans="1:24" ht="15" hidden="1" customHeight="1" x14ac:dyDescent="0.3">
      <c r="A18" s="265">
        <v>45028</v>
      </c>
      <c r="B18" s="173">
        <v>0.17460000000000001</v>
      </c>
      <c r="C18" s="174">
        <v>0.14460000000000001</v>
      </c>
      <c r="D18" s="77">
        <v>0.23080000000000001</v>
      </c>
      <c r="E18" s="175">
        <v>0.23230000000000001</v>
      </c>
      <c r="F18" s="286">
        <v>0.14530000000000001</v>
      </c>
      <c r="H18" s="265">
        <v>45028</v>
      </c>
      <c r="I18" s="137">
        <v>0.75800000000000001</v>
      </c>
      <c r="J18" s="176">
        <v>0.90680000000000005</v>
      </c>
      <c r="K18" s="177">
        <v>0.87150000000000005</v>
      </c>
      <c r="L18" s="106">
        <v>0.68940000000000001</v>
      </c>
      <c r="M18" s="132">
        <v>0.7218</v>
      </c>
      <c r="N18" s="34">
        <v>0.74680000000000002</v>
      </c>
      <c r="O18" s="178">
        <v>0.50129999999999997</v>
      </c>
      <c r="P18" s="13">
        <v>0.58560000000000001</v>
      </c>
      <c r="Q18" s="34">
        <v>0.52669999999999995</v>
      </c>
      <c r="R18" s="144">
        <v>0.6079</v>
      </c>
      <c r="T18" s="265">
        <v>45028</v>
      </c>
      <c r="U18" s="179">
        <v>4.6399999999999997E-2</v>
      </c>
      <c r="V18" s="180">
        <v>3.9800000000000002E-2</v>
      </c>
      <c r="W18" s="181">
        <v>3.7100000000000001E-2</v>
      </c>
      <c r="X18" s="273">
        <v>3.4799999999999998E-2</v>
      </c>
    </row>
    <row r="19" spans="1:24" ht="15" hidden="1" customHeight="1" x14ac:dyDescent="0.3">
      <c r="A19" s="265">
        <v>45062</v>
      </c>
      <c r="B19" s="182">
        <v>0.14499999999999999</v>
      </c>
      <c r="C19" s="183">
        <v>0.13619999999999999</v>
      </c>
      <c r="D19" s="184">
        <v>0.20300000000000001</v>
      </c>
      <c r="E19" s="185">
        <v>0.1686</v>
      </c>
      <c r="F19" s="287">
        <v>0.13930000000000001</v>
      </c>
      <c r="H19" s="265">
        <v>45062</v>
      </c>
      <c r="I19" s="98">
        <v>0.76290000000000002</v>
      </c>
      <c r="J19" s="164">
        <v>0.90800000000000003</v>
      </c>
      <c r="K19" s="13">
        <v>0.87250000000000005</v>
      </c>
      <c r="L19" s="186">
        <v>0.68810000000000004</v>
      </c>
      <c r="M19" s="187">
        <v>0.72319999999999995</v>
      </c>
      <c r="N19" s="188">
        <v>0.76290000000000002</v>
      </c>
      <c r="O19" s="189">
        <v>0.49790000000000001</v>
      </c>
      <c r="P19" s="190">
        <v>0.58499999999999996</v>
      </c>
      <c r="Q19" s="34">
        <v>0.52749999999999997</v>
      </c>
      <c r="R19" s="147">
        <v>0.61299999999999999</v>
      </c>
      <c r="T19" s="265">
        <v>45062</v>
      </c>
      <c r="U19" s="191">
        <v>4.7500000000000001E-2</v>
      </c>
      <c r="V19" s="192">
        <v>4.0099999999999997E-2</v>
      </c>
      <c r="W19" s="171">
        <v>3.6699999999999997E-2</v>
      </c>
      <c r="X19" s="171">
        <v>3.4700000000000002E-2</v>
      </c>
    </row>
    <row r="20" spans="1:24" ht="15" hidden="1" customHeight="1" x14ac:dyDescent="0.3">
      <c r="A20" s="265">
        <v>45092</v>
      </c>
      <c r="B20" s="193">
        <v>0.1178</v>
      </c>
      <c r="C20" s="194">
        <v>0.108</v>
      </c>
      <c r="D20" s="195">
        <v>0.18790000000000001</v>
      </c>
      <c r="E20" s="196">
        <v>0.18049999999999999</v>
      </c>
      <c r="F20" s="288">
        <v>0.1154</v>
      </c>
      <c r="H20" s="265">
        <v>45092</v>
      </c>
      <c r="I20" s="197">
        <v>0.74980000000000002</v>
      </c>
      <c r="J20" s="198">
        <v>0.90259999999999996</v>
      </c>
      <c r="K20" s="43">
        <v>0.87290000000000001</v>
      </c>
      <c r="L20" s="149">
        <v>0.65480000000000005</v>
      </c>
      <c r="M20" s="99">
        <v>0.71509999999999996</v>
      </c>
      <c r="N20" s="168">
        <v>0.75349999999999995</v>
      </c>
      <c r="O20" s="177">
        <v>0.47560000000000002</v>
      </c>
      <c r="P20" s="29">
        <v>0.55800000000000005</v>
      </c>
      <c r="Q20" s="14">
        <v>0.47139999999999999</v>
      </c>
      <c r="R20" s="277">
        <v>0.58720000000000006</v>
      </c>
      <c r="T20" s="265">
        <v>45092</v>
      </c>
      <c r="U20" s="199">
        <v>5.2400000000000002E-2</v>
      </c>
      <c r="V20" s="200">
        <v>4.7E-2</v>
      </c>
      <c r="W20" s="115">
        <v>4.3099999999999999E-2</v>
      </c>
      <c r="X20" s="274">
        <v>3.9900000000000005E-2</v>
      </c>
    </row>
    <row r="21" spans="1:24" ht="15" hidden="1" customHeight="1" x14ac:dyDescent="0.3">
      <c r="A21" s="265">
        <v>45125</v>
      </c>
      <c r="B21" s="201">
        <v>0.11559999999999999</v>
      </c>
      <c r="C21" s="202">
        <v>0.10299999999999999</v>
      </c>
      <c r="D21" s="203">
        <v>0.17519999999999999</v>
      </c>
      <c r="E21" s="204">
        <v>0.1749</v>
      </c>
      <c r="F21" s="289">
        <v>0.1409</v>
      </c>
      <c r="H21" s="265">
        <v>45125</v>
      </c>
      <c r="I21" s="198">
        <v>0.75749999999999995</v>
      </c>
      <c r="J21" s="19">
        <v>0.90290000000000004</v>
      </c>
      <c r="K21" s="34">
        <v>0.873</v>
      </c>
      <c r="L21" s="80">
        <v>0.66290000000000004</v>
      </c>
      <c r="M21" s="205">
        <v>0.71409999999999996</v>
      </c>
      <c r="N21" s="106">
        <v>0.7631</v>
      </c>
      <c r="O21" s="34">
        <v>0.49419999999999997</v>
      </c>
      <c r="P21" s="34">
        <v>0.58950000000000002</v>
      </c>
      <c r="Q21" s="133">
        <v>0.53</v>
      </c>
      <c r="R21" s="205">
        <v>0.62180000000000002</v>
      </c>
      <c r="T21" s="265">
        <v>45125</v>
      </c>
      <c r="U21" s="206">
        <v>5.3099999999999994E-2</v>
      </c>
      <c r="V21" s="207">
        <v>4.7400000000000005E-2</v>
      </c>
      <c r="W21" s="208">
        <v>4.3400000000000001E-2</v>
      </c>
      <c r="X21" s="275">
        <v>4.0199999999999993E-2</v>
      </c>
    </row>
    <row r="22" spans="1:24" ht="15" hidden="1" customHeight="1" x14ac:dyDescent="0.3">
      <c r="A22" s="265">
        <v>45162</v>
      </c>
      <c r="B22" s="209">
        <v>0.13439999999999999</v>
      </c>
      <c r="C22" s="204">
        <v>0.1181</v>
      </c>
      <c r="D22" s="210">
        <v>0.18540000000000001</v>
      </c>
      <c r="E22" s="211">
        <v>0.19750000000000001</v>
      </c>
      <c r="F22" s="290">
        <v>0.16259999999999999</v>
      </c>
      <c r="H22" s="265">
        <v>45162</v>
      </c>
      <c r="I22" s="212">
        <v>0.77429999999999999</v>
      </c>
      <c r="J22" s="43">
        <v>0.90190000000000003</v>
      </c>
      <c r="K22" s="147">
        <v>0.872</v>
      </c>
      <c r="L22" s="213">
        <v>0.69369999999999998</v>
      </c>
      <c r="M22" s="214">
        <v>0.7117</v>
      </c>
      <c r="N22" s="215">
        <v>0.75460000000000005</v>
      </c>
      <c r="O22" s="88">
        <v>0.49690000000000001</v>
      </c>
      <c r="P22" s="59">
        <v>0.5907</v>
      </c>
      <c r="Q22" s="215">
        <v>0.56140000000000001</v>
      </c>
      <c r="R22" s="105">
        <v>0.62039999999999995</v>
      </c>
      <c r="T22" s="265">
        <v>45162</v>
      </c>
      <c r="U22" s="199">
        <v>5.3800000000000001E-2</v>
      </c>
      <c r="V22" s="200">
        <v>4.99E-2</v>
      </c>
      <c r="W22" s="115">
        <v>4.6799999999999994E-2</v>
      </c>
      <c r="X22" s="274">
        <v>4.3899999999999995E-2</v>
      </c>
    </row>
    <row r="23" spans="1:24" ht="15" hidden="1" customHeight="1" x14ac:dyDescent="0.3">
      <c r="A23" s="265">
        <v>45188</v>
      </c>
      <c r="B23" s="216">
        <v>0.12039999999999999</v>
      </c>
      <c r="C23" s="203">
        <v>0.107</v>
      </c>
      <c r="D23" s="7">
        <v>0.1638</v>
      </c>
      <c r="E23" s="217">
        <v>0.17130000000000001</v>
      </c>
      <c r="F23" s="291">
        <v>0.14399999999999999</v>
      </c>
      <c r="H23" s="265">
        <v>45188</v>
      </c>
      <c r="I23" s="218">
        <v>0.77610000000000001</v>
      </c>
      <c r="J23" s="43">
        <v>0.90180000000000005</v>
      </c>
      <c r="K23" s="219">
        <v>0.87160000000000004</v>
      </c>
      <c r="L23" s="220">
        <v>0.69420000000000004</v>
      </c>
      <c r="M23" s="95">
        <v>0.71079999999999999</v>
      </c>
      <c r="N23" s="60">
        <v>0.75649999999999995</v>
      </c>
      <c r="O23" s="221">
        <v>0.496</v>
      </c>
      <c r="P23" s="58">
        <v>0.59250000000000003</v>
      </c>
      <c r="Q23" s="35">
        <v>0.56030000000000002</v>
      </c>
      <c r="R23" s="121">
        <v>0.62439999999999996</v>
      </c>
      <c r="T23" s="265">
        <v>45188</v>
      </c>
      <c r="U23" s="199">
        <v>5.4400000000000004E-2</v>
      </c>
      <c r="V23" s="200">
        <v>5.0900000000000001E-2</v>
      </c>
      <c r="W23" s="115">
        <v>4.7699999999999992E-2</v>
      </c>
      <c r="X23" s="274">
        <v>4.4900000000000002E-2</v>
      </c>
    </row>
    <row r="24" spans="1:24" ht="15" hidden="1" customHeight="1" x14ac:dyDescent="0.3">
      <c r="A24" s="265">
        <v>45222</v>
      </c>
      <c r="B24" s="222">
        <v>0.19239999999999999</v>
      </c>
      <c r="C24" s="150">
        <v>0.1512</v>
      </c>
      <c r="D24" s="34">
        <v>0.2341</v>
      </c>
      <c r="E24" s="143">
        <v>0.22939999999999999</v>
      </c>
      <c r="F24" s="292">
        <v>0.2011</v>
      </c>
      <c r="H24" s="265">
        <v>45222</v>
      </c>
      <c r="I24" s="223">
        <v>0.77800000000000002</v>
      </c>
      <c r="J24" s="224">
        <v>0.89370000000000005</v>
      </c>
      <c r="K24" s="133">
        <v>0.87350000000000005</v>
      </c>
      <c r="L24" s="225">
        <v>0.7036</v>
      </c>
      <c r="M24" s="197">
        <v>0.70909999999999995</v>
      </c>
      <c r="N24" s="34">
        <v>0.74660000000000004</v>
      </c>
      <c r="O24" s="34">
        <v>0.4945</v>
      </c>
      <c r="P24" s="73">
        <v>0.55569999999999997</v>
      </c>
      <c r="Q24" s="155">
        <v>0.58109999999999995</v>
      </c>
      <c r="R24" s="278">
        <v>0.58020000000000005</v>
      </c>
      <c r="T24" s="265">
        <v>45222</v>
      </c>
      <c r="U24" s="199">
        <v>5.4100000000000002E-2</v>
      </c>
      <c r="V24" s="200">
        <v>5.0799999999999998E-2</v>
      </c>
      <c r="W24" s="115">
        <v>4.9000000000000002E-2</v>
      </c>
      <c r="X24" s="274">
        <v>4.82E-2</v>
      </c>
    </row>
    <row r="25" spans="1:24" ht="15" hidden="1" customHeight="1" x14ac:dyDescent="0.3">
      <c r="A25" s="265">
        <v>45245</v>
      </c>
      <c r="B25" s="194">
        <v>0.1208</v>
      </c>
      <c r="C25" s="226">
        <v>0.1022</v>
      </c>
      <c r="D25" s="227">
        <v>0.19750000000000001</v>
      </c>
      <c r="E25" s="228">
        <v>0.16200000000000001</v>
      </c>
      <c r="F25" s="293">
        <v>0.12640000000000001</v>
      </c>
      <c r="H25" s="265">
        <v>45245</v>
      </c>
      <c r="I25" s="229">
        <v>0.78439999999999999</v>
      </c>
      <c r="J25" s="135">
        <v>0.90339999999999998</v>
      </c>
      <c r="K25" s="230">
        <v>0.87790000000000001</v>
      </c>
      <c r="L25" s="231">
        <v>0.70330000000000004</v>
      </c>
      <c r="M25" s="232">
        <v>0.73070000000000002</v>
      </c>
      <c r="N25" s="176">
        <v>0.76400000000000001</v>
      </c>
      <c r="O25" s="233">
        <v>0.49559999999999998</v>
      </c>
      <c r="P25" s="177">
        <v>0.57809999999999995</v>
      </c>
      <c r="Q25" s="68">
        <v>0.56469999999999998</v>
      </c>
      <c r="R25" s="233">
        <v>0.63170000000000004</v>
      </c>
      <c r="T25" s="265">
        <v>45245</v>
      </c>
      <c r="U25" s="199">
        <v>5.2699999999999997E-2</v>
      </c>
      <c r="V25" s="200">
        <v>4.9200000000000001E-2</v>
      </c>
      <c r="W25" s="115">
        <v>4.6900000000000004E-2</v>
      </c>
      <c r="X25" s="274">
        <v>4.5400000000000003E-2</v>
      </c>
    </row>
    <row r="26" spans="1:24" ht="15" hidden="1" customHeight="1" x14ac:dyDescent="0.3">
      <c r="A26" s="265">
        <v>45280</v>
      </c>
      <c r="B26" s="234">
        <v>0.1075</v>
      </c>
      <c r="C26" s="7">
        <v>9.6699999999999994E-2</v>
      </c>
      <c r="D26" s="235">
        <v>0.1867</v>
      </c>
      <c r="E26" s="7">
        <v>0.1386</v>
      </c>
      <c r="F26" s="294">
        <v>0.1125</v>
      </c>
      <c r="H26" s="265">
        <v>45280</v>
      </c>
      <c r="I26" s="7">
        <v>0.78720000000000001</v>
      </c>
      <c r="J26" s="236">
        <v>0.90669999999999995</v>
      </c>
      <c r="K26" s="237">
        <v>0.88039999999999996</v>
      </c>
      <c r="L26" s="7">
        <v>0.71299999999999997</v>
      </c>
      <c r="M26" s="7">
        <v>0.73240000000000005</v>
      </c>
      <c r="N26" s="156">
        <v>0.76780000000000004</v>
      </c>
      <c r="O26" s="59">
        <v>0.49480000000000002</v>
      </c>
      <c r="P26" s="168">
        <v>0.60460000000000003</v>
      </c>
      <c r="Q26" s="112">
        <v>0.56889999999999996</v>
      </c>
      <c r="R26" s="221">
        <v>0.63260000000000005</v>
      </c>
      <c r="T26" s="265">
        <v>45280</v>
      </c>
      <c r="U26" s="199">
        <v>4.9100000000000005E-2</v>
      </c>
      <c r="V26" s="200">
        <v>4.3899999999999995E-2</v>
      </c>
      <c r="W26" s="115">
        <v>4.1100000000000005E-2</v>
      </c>
      <c r="X26" s="274">
        <v>3.9100000000000003E-2</v>
      </c>
    </row>
    <row r="27" spans="1:24" ht="15" hidden="1" customHeight="1" x14ac:dyDescent="0.3">
      <c r="A27" s="265">
        <v>45317</v>
      </c>
      <c r="B27" s="7">
        <v>0.1055</v>
      </c>
      <c r="C27" s="238">
        <v>0.10150000000000001</v>
      </c>
      <c r="D27" s="196">
        <v>0.1915</v>
      </c>
      <c r="E27" s="239">
        <v>0.1424</v>
      </c>
      <c r="F27" s="295">
        <v>0.1101</v>
      </c>
      <c r="H27" s="265">
        <v>45317</v>
      </c>
      <c r="I27" s="145">
        <v>0.78</v>
      </c>
      <c r="J27" s="7">
        <v>0.91500000000000004</v>
      </c>
      <c r="K27" s="240">
        <v>0.88900000000000001</v>
      </c>
      <c r="L27" s="66">
        <v>0.6</v>
      </c>
      <c r="M27" s="241">
        <v>0.67300000000000004</v>
      </c>
      <c r="N27" s="212">
        <v>0.77500000000000002</v>
      </c>
      <c r="O27" s="242">
        <v>0.42599999999999999</v>
      </c>
      <c r="P27" s="6">
        <v>0.499</v>
      </c>
      <c r="Q27" s="6">
        <v>0.46200000000000002</v>
      </c>
      <c r="R27" s="6">
        <v>0.46300000000000002</v>
      </c>
      <c r="T27" s="265">
        <v>45317</v>
      </c>
      <c r="U27" s="199">
        <v>4.7800000000000002E-2</v>
      </c>
      <c r="V27" s="200">
        <v>4.3200000000000002E-2</v>
      </c>
      <c r="W27" s="115">
        <v>4.1500000000000002E-2</v>
      </c>
      <c r="X27" s="274">
        <v>4.0300000000000002E-2</v>
      </c>
    </row>
    <row r="28" spans="1:24" ht="15" hidden="1" customHeight="1" x14ac:dyDescent="0.3">
      <c r="A28" s="265">
        <v>45348</v>
      </c>
      <c r="B28" s="7">
        <v>0.1167</v>
      </c>
      <c r="C28" s="238">
        <v>0.10340000000000001</v>
      </c>
      <c r="D28" s="196">
        <v>0.21590000000000001</v>
      </c>
      <c r="E28" s="239">
        <v>0.1613</v>
      </c>
      <c r="F28" s="295">
        <v>0.1091</v>
      </c>
      <c r="H28" s="265">
        <v>45348</v>
      </c>
      <c r="I28" s="145">
        <v>0.755</v>
      </c>
      <c r="J28" s="7">
        <v>0.91400000000000003</v>
      </c>
      <c r="K28" s="240">
        <v>0.89100000000000001</v>
      </c>
      <c r="L28" s="66">
        <v>0.56799999999999995</v>
      </c>
      <c r="M28" s="241">
        <v>0.67900000000000005</v>
      </c>
      <c r="N28" s="212">
        <v>0.77100000000000002</v>
      </c>
      <c r="O28" s="242">
        <v>0.41799999999999998</v>
      </c>
      <c r="P28" s="6">
        <v>0.51300000000000001</v>
      </c>
      <c r="Q28" s="6">
        <v>0.46600000000000003</v>
      </c>
      <c r="R28" s="6">
        <v>0.497</v>
      </c>
      <c r="T28" s="265">
        <v>45348</v>
      </c>
      <c r="U28" s="199">
        <v>0.05</v>
      </c>
      <c r="V28" s="200">
        <v>4.7300000000000002E-2</v>
      </c>
      <c r="W28" s="115">
        <v>4.4500000000000005E-2</v>
      </c>
      <c r="X28" s="274">
        <v>4.3200000000000002E-2</v>
      </c>
    </row>
    <row r="29" spans="1:24" ht="15" hidden="1" customHeight="1" x14ac:dyDescent="0.3">
      <c r="A29" s="265">
        <v>45352</v>
      </c>
      <c r="B29" s="7">
        <v>0.11169999999999999</v>
      </c>
      <c r="C29" s="238">
        <v>9.8400000000000001E-2</v>
      </c>
      <c r="D29" s="196">
        <v>0.2167</v>
      </c>
      <c r="E29" s="239">
        <v>0.15179999999999999</v>
      </c>
      <c r="F29" s="295">
        <v>0.1052</v>
      </c>
      <c r="H29" s="265">
        <v>45352</v>
      </c>
      <c r="I29" s="145">
        <v>0.75700000000000001</v>
      </c>
      <c r="J29" s="7">
        <v>0.91300000000000003</v>
      </c>
      <c r="K29" s="240">
        <v>0.89</v>
      </c>
      <c r="L29" s="66">
        <v>0.56999999999999995</v>
      </c>
      <c r="M29" s="241">
        <v>0.67500000000000004</v>
      </c>
      <c r="N29" s="212">
        <v>0.77200000000000002</v>
      </c>
      <c r="O29" s="242">
        <v>0.40899999999999997</v>
      </c>
      <c r="P29" s="6">
        <v>0.505</v>
      </c>
      <c r="Q29" s="6">
        <v>0.46800000000000003</v>
      </c>
      <c r="R29" s="6">
        <v>0.49</v>
      </c>
      <c r="T29" s="265">
        <v>45352</v>
      </c>
      <c r="U29" s="199">
        <v>4.9400000000000006E-2</v>
      </c>
      <c r="V29" s="200">
        <v>4.5400000000000003E-2</v>
      </c>
      <c r="W29" s="115">
        <v>4.3200000000000002E-2</v>
      </c>
      <c r="X29" s="274">
        <v>4.2140000000000004E-2</v>
      </c>
    </row>
    <row r="30" spans="1:24" ht="15" hidden="1" customHeight="1" x14ac:dyDescent="0.3">
      <c r="A30" s="265">
        <v>45359</v>
      </c>
      <c r="B30" s="243">
        <v>0.1338</v>
      </c>
      <c r="C30" s="244">
        <v>0.13239999999999999</v>
      </c>
      <c r="D30" s="245">
        <v>0.2135</v>
      </c>
      <c r="E30" s="246">
        <v>0.17249999999999999</v>
      </c>
      <c r="F30" s="7">
        <v>0.1221</v>
      </c>
      <c r="H30" s="265">
        <v>45359</v>
      </c>
      <c r="I30" s="99">
        <v>0.748</v>
      </c>
      <c r="J30" s="247">
        <v>0.91500000000000004</v>
      </c>
      <c r="K30" s="248">
        <v>0.88300000000000001</v>
      </c>
      <c r="L30" s="249">
        <v>0.56100000000000005</v>
      </c>
      <c r="M30" s="250">
        <v>0.67</v>
      </c>
      <c r="N30" s="251">
        <v>0.76700000000000002</v>
      </c>
      <c r="O30" s="252">
        <v>0.42799999999999999</v>
      </c>
      <c r="P30" s="253">
        <v>0.51400000000000001</v>
      </c>
      <c r="Q30" s="254">
        <v>0.45800000000000002</v>
      </c>
      <c r="R30" s="279">
        <v>0.49299999999999999</v>
      </c>
      <c r="T30" s="265">
        <v>45359</v>
      </c>
      <c r="U30" s="199">
        <v>4.9480000000000003E-2</v>
      </c>
      <c r="V30" s="200">
        <v>4.5190000000000001E-2</v>
      </c>
      <c r="W30" s="115">
        <v>4.2849999999999999E-2</v>
      </c>
      <c r="X30" s="274">
        <v>4.0780000000000004E-2</v>
      </c>
    </row>
    <row r="31" spans="1:24" ht="15" hidden="1" customHeight="1" x14ac:dyDescent="0.3">
      <c r="A31" s="265">
        <v>45366</v>
      </c>
      <c r="B31" s="243">
        <v>0.1125</v>
      </c>
      <c r="C31" s="244">
        <v>0.1007</v>
      </c>
      <c r="D31" s="245">
        <v>0.18179999999999999</v>
      </c>
      <c r="E31" s="246">
        <v>0.14960000000000001</v>
      </c>
      <c r="F31" s="7">
        <v>0.10680000000000001</v>
      </c>
      <c r="H31" s="265">
        <v>45366</v>
      </c>
      <c r="I31" s="99">
        <v>0.72199999999999998</v>
      </c>
      <c r="J31" s="247">
        <v>0.92</v>
      </c>
      <c r="K31" s="248">
        <v>0.872</v>
      </c>
      <c r="L31" s="249">
        <v>0.54400000000000004</v>
      </c>
      <c r="M31" s="250">
        <v>0.66300000000000003</v>
      </c>
      <c r="N31" s="251">
        <v>0.747</v>
      </c>
      <c r="O31" s="252">
        <v>0.43</v>
      </c>
      <c r="P31" s="253">
        <v>0.503</v>
      </c>
      <c r="Q31" s="254">
        <v>0.44400000000000001</v>
      </c>
      <c r="R31" s="279">
        <v>0.47799999999999998</v>
      </c>
      <c r="T31" s="265">
        <v>45366</v>
      </c>
      <c r="U31" s="115">
        <v>5.0519999999999995E-2</v>
      </c>
      <c r="V31" s="255">
        <v>4.734E-2</v>
      </c>
      <c r="W31" s="256">
        <v>4.5179999999999998E-2</v>
      </c>
      <c r="X31" s="276">
        <v>4.3479999999999998E-2</v>
      </c>
    </row>
    <row r="32" spans="1:24" ht="15" hidden="1" customHeight="1" x14ac:dyDescent="0.3">
      <c r="A32" s="265">
        <v>45373</v>
      </c>
      <c r="B32" s="243">
        <v>0.1236</v>
      </c>
      <c r="C32" s="244">
        <v>0.11210000000000001</v>
      </c>
      <c r="D32" s="245">
        <v>0.19769999999999999</v>
      </c>
      <c r="E32" s="246">
        <v>0.17480000000000001</v>
      </c>
      <c r="F32" s="7">
        <v>0.11459999999999999</v>
      </c>
      <c r="H32" s="265">
        <v>45373</v>
      </c>
      <c r="I32" s="99">
        <v>0.73299999999999998</v>
      </c>
      <c r="J32" s="247">
        <v>0.91700000000000004</v>
      </c>
      <c r="K32" s="248">
        <v>0.879</v>
      </c>
      <c r="L32" s="249">
        <v>0.55100000000000005</v>
      </c>
      <c r="M32" s="250">
        <v>0.66700000000000004</v>
      </c>
      <c r="N32" s="251">
        <v>0.752</v>
      </c>
      <c r="O32" s="252">
        <v>0.42599999999999999</v>
      </c>
      <c r="P32" s="253">
        <v>0.49299999999999999</v>
      </c>
      <c r="Q32" s="254">
        <v>0.43099999999999999</v>
      </c>
      <c r="R32" s="279">
        <v>0.46700000000000003</v>
      </c>
      <c r="T32" s="265">
        <v>45373</v>
      </c>
      <c r="U32" s="115">
        <v>4.9770000000000002E-2</v>
      </c>
      <c r="V32" s="115">
        <v>4.6189999999999995E-2</v>
      </c>
      <c r="W32" s="115">
        <v>4.3810000000000002E-2</v>
      </c>
      <c r="X32" s="115">
        <v>4.2169999999999999E-2</v>
      </c>
    </row>
    <row r="33" spans="1:24" ht="15" hidden="1" customHeight="1" x14ac:dyDescent="0.3">
      <c r="A33" s="265">
        <v>45387</v>
      </c>
      <c r="B33" s="243">
        <v>0.13730000000000001</v>
      </c>
      <c r="C33" s="244">
        <v>0.1222</v>
      </c>
      <c r="D33" s="245">
        <v>0.2099</v>
      </c>
      <c r="E33" s="246">
        <v>0.17780000000000001</v>
      </c>
      <c r="F33" s="7">
        <v>0.12429999999999999</v>
      </c>
      <c r="H33" s="265">
        <v>45387</v>
      </c>
      <c r="I33" s="99">
        <v>0.72199999999999998</v>
      </c>
      <c r="J33" s="247">
        <v>0.92200000000000004</v>
      </c>
      <c r="K33" s="248">
        <v>0.875</v>
      </c>
      <c r="L33" s="249">
        <v>0.54500000000000004</v>
      </c>
      <c r="M33" s="250">
        <v>0.67300000000000004</v>
      </c>
      <c r="N33" s="251">
        <v>0.752</v>
      </c>
      <c r="O33" s="252">
        <v>0.41</v>
      </c>
      <c r="P33" s="253">
        <v>0.47799999999999998</v>
      </c>
      <c r="Q33" s="254">
        <v>0.439</v>
      </c>
      <c r="R33" s="279">
        <v>0.45600000000000002</v>
      </c>
      <c r="T33" s="265">
        <v>45387</v>
      </c>
      <c r="U33" s="115">
        <v>5.0799999999999998E-2</v>
      </c>
      <c r="V33" s="115">
        <v>4.7899999999999998E-2</v>
      </c>
      <c r="W33" s="115">
        <v>4.6100000000000002E-2</v>
      </c>
      <c r="X33" s="115">
        <v>4.4499999999999998E-2</v>
      </c>
    </row>
    <row r="34" spans="1:24" ht="15" hidden="1" customHeight="1" x14ac:dyDescent="0.3">
      <c r="A34" s="265">
        <v>45394</v>
      </c>
      <c r="B34" s="243">
        <v>0.14680000000000001</v>
      </c>
      <c r="C34" s="244">
        <v>0.14019999999999999</v>
      </c>
      <c r="D34" s="245">
        <v>0.21659999999999999</v>
      </c>
      <c r="E34" s="246">
        <v>0.188</v>
      </c>
      <c r="F34" s="7">
        <v>0.13519999999999999</v>
      </c>
      <c r="H34" s="265">
        <f t="shared" ref="H34:H39" si="0">A34</f>
        <v>45394</v>
      </c>
      <c r="I34" s="99">
        <v>0.72699999999999998</v>
      </c>
      <c r="J34" s="247">
        <v>0.92300000000000004</v>
      </c>
      <c r="K34" s="248">
        <v>0.876</v>
      </c>
      <c r="L34" s="249">
        <v>0.55200000000000005</v>
      </c>
      <c r="M34" s="250">
        <v>0.67400000000000004</v>
      </c>
      <c r="N34" s="251">
        <v>0.75600000000000001</v>
      </c>
      <c r="O34" s="252">
        <v>0.39500000000000002</v>
      </c>
      <c r="P34" s="253">
        <v>0.46500000000000002</v>
      </c>
      <c r="Q34" s="254">
        <v>0.42899999999999999</v>
      </c>
      <c r="R34" s="279">
        <v>0.44900000000000001</v>
      </c>
      <c r="T34" s="265">
        <f t="shared" ref="T34:T39" si="1">A34</f>
        <v>45394</v>
      </c>
      <c r="U34" s="115">
        <v>5.1900000000000002E-2</v>
      </c>
      <c r="V34" s="115">
        <v>4.9739999999999999E-2</v>
      </c>
      <c r="W34" s="115">
        <v>4.8140000000000002E-2</v>
      </c>
      <c r="X34" s="115">
        <v>4.6420000000000003E-2</v>
      </c>
    </row>
    <row r="35" spans="1:24" ht="15" hidden="1" customHeight="1" x14ac:dyDescent="0.3">
      <c r="A35" s="265">
        <v>45401</v>
      </c>
      <c r="B35" s="243">
        <v>0.15859999999999999</v>
      </c>
      <c r="C35" s="244">
        <v>0.14419999999999999</v>
      </c>
      <c r="D35" s="245">
        <v>0.22509999999999999</v>
      </c>
      <c r="E35" s="246">
        <v>0.20979999999999999</v>
      </c>
      <c r="F35" s="7">
        <v>0.14219999999999999</v>
      </c>
      <c r="H35" s="265">
        <f t="shared" si="0"/>
        <v>45401</v>
      </c>
      <c r="I35" s="99">
        <v>0.72699999999999998</v>
      </c>
      <c r="J35" s="247">
        <v>0.92300000000000004</v>
      </c>
      <c r="K35" s="248">
        <v>0.86699999999999999</v>
      </c>
      <c r="L35" s="249">
        <v>0.55100000000000005</v>
      </c>
      <c r="M35" s="250">
        <v>0.66</v>
      </c>
      <c r="N35" s="251">
        <v>0.75600000000000001</v>
      </c>
      <c r="O35" s="252">
        <v>0.38500000000000001</v>
      </c>
      <c r="P35" s="253">
        <v>0.45800000000000002</v>
      </c>
      <c r="Q35" s="254">
        <v>0.42799999999999999</v>
      </c>
      <c r="R35" s="279">
        <v>0.44</v>
      </c>
      <c r="T35" s="265">
        <f t="shared" si="1"/>
        <v>45401</v>
      </c>
      <c r="U35" s="115">
        <v>5.1619999999999999E-2</v>
      </c>
      <c r="V35" s="115">
        <v>4.9779999999999998E-2</v>
      </c>
      <c r="W35" s="115">
        <v>4.8160000000000001E-2</v>
      </c>
      <c r="X35" s="115">
        <v>4.6769999999999999E-2</v>
      </c>
    </row>
    <row r="36" spans="1:24" ht="15" hidden="1" customHeight="1" x14ac:dyDescent="0.3">
      <c r="A36" s="265">
        <v>45408</v>
      </c>
      <c r="B36" s="243">
        <v>0.1323</v>
      </c>
      <c r="C36" s="244">
        <v>0.1164</v>
      </c>
      <c r="D36" s="245">
        <v>0.1983</v>
      </c>
      <c r="E36" s="246">
        <v>0.18110000000000001</v>
      </c>
      <c r="F36" s="7">
        <v>0.1288</v>
      </c>
      <c r="H36" s="265">
        <f t="shared" si="0"/>
        <v>45408</v>
      </c>
      <c r="I36" s="99">
        <v>0.72599999999999998</v>
      </c>
      <c r="J36" s="247">
        <v>0.92400000000000004</v>
      </c>
      <c r="K36" s="248">
        <v>0.86099999999999999</v>
      </c>
      <c r="L36" s="249">
        <v>0.55100000000000005</v>
      </c>
      <c r="M36" s="250">
        <v>0.65500000000000003</v>
      </c>
      <c r="N36" s="251">
        <v>0.755</v>
      </c>
      <c r="O36" s="252">
        <v>0.40100000000000002</v>
      </c>
      <c r="P36" s="253">
        <v>0.47299999999999998</v>
      </c>
      <c r="Q36" s="254">
        <v>0.435</v>
      </c>
      <c r="R36" s="279">
        <v>0.45</v>
      </c>
      <c r="T36" s="265">
        <f t="shared" si="1"/>
        <v>45408</v>
      </c>
      <c r="U36" s="115">
        <v>5.1950000000000003E-2</v>
      </c>
      <c r="V36" s="115">
        <v>4.9910000000000003E-2</v>
      </c>
      <c r="W36" s="115">
        <v>4.8239999999999998E-2</v>
      </c>
      <c r="X36" s="115">
        <v>4.6640000000000001E-2</v>
      </c>
    </row>
    <row r="37" spans="1:24" ht="15" hidden="1" customHeight="1" x14ac:dyDescent="0.3">
      <c r="A37" s="265">
        <v>45415</v>
      </c>
      <c r="B37" s="243">
        <v>0.1323</v>
      </c>
      <c r="C37" s="244">
        <v>0.1164</v>
      </c>
      <c r="D37" s="245">
        <v>0.1983</v>
      </c>
      <c r="E37" s="246">
        <v>0.18110000000000001</v>
      </c>
      <c r="F37" s="7">
        <v>0.1288</v>
      </c>
      <c r="H37" s="265">
        <f t="shared" si="0"/>
        <v>45415</v>
      </c>
      <c r="I37" s="99">
        <v>0.72499999999999998</v>
      </c>
      <c r="J37" s="247">
        <v>0.92700000000000005</v>
      </c>
      <c r="K37" s="248">
        <v>0.85799999999999998</v>
      </c>
      <c r="L37" s="249">
        <v>0.55200000000000005</v>
      </c>
      <c r="M37" s="250">
        <v>0.65700000000000003</v>
      </c>
      <c r="N37" s="251">
        <v>0.75600000000000001</v>
      </c>
      <c r="O37" s="252">
        <v>0.39500000000000002</v>
      </c>
      <c r="P37" s="253">
        <v>0.46100000000000002</v>
      </c>
      <c r="Q37" s="254">
        <v>0.41699999999999998</v>
      </c>
      <c r="R37" s="279">
        <v>0.438</v>
      </c>
      <c r="T37" s="265">
        <f t="shared" si="1"/>
        <v>45415</v>
      </c>
      <c r="U37" s="115">
        <v>5.1139999999999998E-2</v>
      </c>
      <c r="V37" s="115">
        <v>4.8180000000000001E-2</v>
      </c>
      <c r="W37" s="115">
        <v>4.6429999999999999E-2</v>
      </c>
      <c r="X37" s="115">
        <v>4.4909999999999999E-2</v>
      </c>
    </row>
    <row r="38" spans="1:24" ht="15" hidden="1" customHeight="1" x14ac:dyDescent="0.3">
      <c r="A38" s="265">
        <v>45432</v>
      </c>
      <c r="B38" s="243">
        <v>0.104</v>
      </c>
      <c r="C38" s="244">
        <v>8.8700000000000001E-2</v>
      </c>
      <c r="D38" s="245">
        <v>0.16830000000000001</v>
      </c>
      <c r="E38" s="246">
        <v>0.1406</v>
      </c>
      <c r="F38" s="7">
        <v>0.10920000000000001</v>
      </c>
      <c r="H38" s="265">
        <f t="shared" si="0"/>
        <v>45432</v>
      </c>
      <c r="I38" s="99">
        <v>0.72399999999999998</v>
      </c>
      <c r="J38" s="247">
        <v>0.92900000000000005</v>
      </c>
      <c r="K38" s="248">
        <v>0.85899999999999999</v>
      </c>
      <c r="L38" s="249">
        <v>0.55500000000000005</v>
      </c>
      <c r="M38" s="250">
        <v>0.66500000000000004</v>
      </c>
      <c r="N38" s="251">
        <v>0.749</v>
      </c>
      <c r="O38" s="252">
        <v>0.39400000000000002</v>
      </c>
      <c r="P38" s="253">
        <v>0.46300000000000002</v>
      </c>
      <c r="Q38" s="254">
        <v>0.42199999999999999</v>
      </c>
      <c r="R38" s="279">
        <v>0.44500000000000001</v>
      </c>
      <c r="T38" s="265">
        <f t="shared" si="1"/>
        <v>45432</v>
      </c>
      <c r="U38" s="115">
        <v>5.1459999999999999E-2</v>
      </c>
      <c r="V38" s="115">
        <v>4.8480000000000002E-2</v>
      </c>
      <c r="W38" s="115">
        <v>4.6309999999999997E-2</v>
      </c>
      <c r="X38" s="115">
        <v>4.4720000000000003E-2</v>
      </c>
    </row>
    <row r="39" spans="1:24" ht="15" hidden="1" customHeight="1" x14ac:dyDescent="0.3">
      <c r="A39" s="265">
        <v>45453</v>
      </c>
      <c r="B39" s="243">
        <v>0.1104</v>
      </c>
      <c r="C39" s="244">
        <v>0.10050000000000001</v>
      </c>
      <c r="D39" s="245">
        <v>0.18</v>
      </c>
      <c r="E39" s="246">
        <v>0.14249999999999999</v>
      </c>
      <c r="F39" s="7">
        <v>0.1308</v>
      </c>
      <c r="H39" s="265">
        <f t="shared" si="0"/>
        <v>45453</v>
      </c>
      <c r="I39" s="99">
        <v>0.73799999999999999</v>
      </c>
      <c r="J39" s="247">
        <v>0.93300000000000005</v>
      </c>
      <c r="K39" s="248">
        <v>0.85099999999999998</v>
      </c>
      <c r="L39" s="249">
        <v>0.59199999999999997</v>
      </c>
      <c r="M39" s="250">
        <v>0.66300000000000003</v>
      </c>
      <c r="N39" s="251">
        <v>0.73399999999999999</v>
      </c>
      <c r="O39" s="252">
        <v>0.38</v>
      </c>
      <c r="P39" s="253">
        <v>0.432</v>
      </c>
      <c r="Q39" s="254">
        <v>0.41499999999999998</v>
      </c>
      <c r="R39" s="279">
        <v>0.39</v>
      </c>
      <c r="T39" s="265">
        <f t="shared" si="1"/>
        <v>45453</v>
      </c>
      <c r="U39" s="115">
        <v>5.1740000000000001E-2</v>
      </c>
      <c r="V39" s="115">
        <v>4.8890000000000003E-2</v>
      </c>
      <c r="W39" s="115">
        <v>4.6760000000000003E-2</v>
      </c>
      <c r="X39" s="115">
        <v>4.4819999999999999E-2</v>
      </c>
    </row>
    <row r="40" spans="1:24" ht="15" hidden="1" customHeight="1" x14ac:dyDescent="0.3">
      <c r="A40" s="265">
        <v>45460</v>
      </c>
      <c r="B40" s="243">
        <v>0.10780000000000001</v>
      </c>
      <c r="C40" s="244">
        <v>0.10580000000000001</v>
      </c>
      <c r="D40" s="245">
        <v>0.18579999999999999</v>
      </c>
      <c r="E40" s="246">
        <v>0.1394</v>
      </c>
      <c r="F40" s="7">
        <v>0.17929999999999999</v>
      </c>
      <c r="H40" s="265">
        <f t="shared" ref="H40" si="2">A40</f>
        <v>45460</v>
      </c>
      <c r="I40" s="99">
        <v>0.73599999999999999</v>
      </c>
      <c r="J40" s="247">
        <v>0.93300000000000005</v>
      </c>
      <c r="K40" s="248">
        <v>0.84599999999999997</v>
      </c>
      <c r="L40" s="249">
        <v>0.59</v>
      </c>
      <c r="M40" s="250">
        <v>0.65600000000000003</v>
      </c>
      <c r="N40" s="251">
        <v>0.72799999999999998</v>
      </c>
      <c r="O40" s="252">
        <v>0.36</v>
      </c>
      <c r="P40" s="253">
        <v>0.42299999999999999</v>
      </c>
      <c r="Q40" s="254">
        <v>0.433</v>
      </c>
      <c r="R40" s="279">
        <v>0.39200000000000002</v>
      </c>
      <c r="T40" s="265">
        <f t="shared" ref="T40" si="3">A40</f>
        <v>45460</v>
      </c>
      <c r="U40" s="115">
        <v>5.0970000000000001E-2</v>
      </c>
      <c r="V40" s="115">
        <v>4.7440000000000003E-2</v>
      </c>
      <c r="W40" s="115">
        <v>4.4810000000000003E-2</v>
      </c>
      <c r="X40" s="115">
        <v>4.8619999999999997E-2</v>
      </c>
    </row>
    <row r="41" spans="1:24" ht="15" hidden="1" customHeight="1" x14ac:dyDescent="0.3">
      <c r="A41" s="265">
        <v>45467</v>
      </c>
      <c r="B41" s="243">
        <v>0.112</v>
      </c>
      <c r="C41" s="244">
        <v>0.1133</v>
      </c>
      <c r="D41" s="245">
        <v>0.18279999999999999</v>
      </c>
      <c r="E41" s="246">
        <v>0.1598</v>
      </c>
      <c r="F41" s="7">
        <v>0.158</v>
      </c>
      <c r="H41" s="265">
        <f t="shared" ref="H41" si="4">A41</f>
        <v>45467</v>
      </c>
      <c r="I41" s="99">
        <v>0.73699999999999999</v>
      </c>
      <c r="J41" s="247">
        <v>0.93300000000000005</v>
      </c>
      <c r="K41" s="248">
        <v>0.83899999999999997</v>
      </c>
      <c r="L41" s="249">
        <v>0.59299999999999997</v>
      </c>
      <c r="M41" s="250">
        <v>0.64600000000000002</v>
      </c>
      <c r="N41" s="251">
        <v>0.72399999999999998</v>
      </c>
      <c r="O41" s="252">
        <v>0.35699999999999998</v>
      </c>
      <c r="P41" s="253">
        <v>0.42099999999999999</v>
      </c>
      <c r="Q41" s="254">
        <v>0.42799999999999999</v>
      </c>
      <c r="R41" s="279">
        <v>0.39500000000000002</v>
      </c>
      <c r="T41" s="265">
        <f t="shared" ref="T41" si="5">A41</f>
        <v>45467</v>
      </c>
      <c r="U41" s="115">
        <v>5.1029999999999999E-2</v>
      </c>
      <c r="V41" s="115">
        <v>4.7469999999999998E-2</v>
      </c>
      <c r="W41" s="115">
        <v>4.4740000000000002E-2</v>
      </c>
      <c r="X41" s="115">
        <v>4.2799999999999998E-2</v>
      </c>
    </row>
    <row r="42" spans="1:24" ht="15" hidden="1" customHeight="1" x14ac:dyDescent="0.3">
      <c r="A42" s="265">
        <v>45474</v>
      </c>
      <c r="B42" s="243">
        <v>0.11070000000000001</v>
      </c>
      <c r="C42" s="244">
        <v>0.10340000000000001</v>
      </c>
      <c r="D42" s="245">
        <v>0.1668</v>
      </c>
      <c r="E42" s="246">
        <v>0.1479</v>
      </c>
      <c r="F42" s="7">
        <v>0.14180000000000001</v>
      </c>
      <c r="H42" s="265">
        <f t="shared" ref="H42" si="6">A42</f>
        <v>45474</v>
      </c>
      <c r="I42" s="99">
        <v>0.73299999999999998</v>
      </c>
      <c r="J42" s="247">
        <v>0.93400000000000005</v>
      </c>
      <c r="K42" s="248">
        <v>0.83</v>
      </c>
      <c r="L42" s="249">
        <v>0.58899999999999997</v>
      </c>
      <c r="M42" s="250">
        <v>0.63500000000000001</v>
      </c>
      <c r="N42" s="251">
        <v>0.72199999999999998</v>
      </c>
      <c r="O42" s="252">
        <v>0.34599999999999997</v>
      </c>
      <c r="P42" s="253">
        <v>0.41199999999999998</v>
      </c>
      <c r="Q42" s="254">
        <v>0.42299999999999999</v>
      </c>
      <c r="R42" s="279">
        <v>0.39100000000000001</v>
      </c>
      <c r="T42" s="265">
        <f t="shared" ref="T42" si="7">A42</f>
        <v>45474</v>
      </c>
      <c r="U42" s="115">
        <v>5.1189999999999999E-2</v>
      </c>
      <c r="V42" s="115">
        <v>4.7890000000000002E-2</v>
      </c>
      <c r="W42" s="115">
        <v>4.5929999999999999E-2</v>
      </c>
      <c r="X42" s="115">
        <v>4.4240000000000002E-2</v>
      </c>
    </row>
    <row r="43" spans="1:24" ht="15" hidden="1" customHeight="1" x14ac:dyDescent="0.3">
      <c r="A43" s="265">
        <v>45481</v>
      </c>
      <c r="B43" s="243">
        <v>0.10580000000000001</v>
      </c>
      <c r="C43" s="244">
        <v>0.1</v>
      </c>
      <c r="D43" s="245">
        <v>0.1651</v>
      </c>
      <c r="E43" s="246">
        <v>0.1507</v>
      </c>
      <c r="F43" s="7">
        <v>0.1162</v>
      </c>
      <c r="H43" s="265">
        <f t="shared" ref="H43" si="8">A43</f>
        <v>45481</v>
      </c>
      <c r="I43" s="99">
        <v>0.73099999999999998</v>
      </c>
      <c r="J43" s="247">
        <v>0.93400000000000005</v>
      </c>
      <c r="K43" s="248">
        <v>0.82799999999999996</v>
      </c>
      <c r="L43" s="249">
        <v>0.58399999999999996</v>
      </c>
      <c r="M43" s="250">
        <v>0.63200000000000001</v>
      </c>
      <c r="N43" s="251">
        <v>0.72299999999999998</v>
      </c>
      <c r="O43" s="252">
        <v>0.34499999999999997</v>
      </c>
      <c r="P43" s="253">
        <v>0.40600000000000003</v>
      </c>
      <c r="Q43" s="254">
        <v>0.40600000000000003</v>
      </c>
      <c r="R43" s="279">
        <v>0.372</v>
      </c>
      <c r="T43" s="265">
        <f t="shared" ref="T43" si="9">A43</f>
        <v>45481</v>
      </c>
      <c r="U43" s="115">
        <v>5.006E-2</v>
      </c>
      <c r="V43" s="115">
        <v>4.6240000000000003E-2</v>
      </c>
      <c r="W43" s="115">
        <v>4.4060000000000002E-2</v>
      </c>
      <c r="X43" s="115">
        <v>4.2320000000000003E-2</v>
      </c>
    </row>
    <row r="44" spans="1:24" ht="15" hidden="1" customHeight="1" x14ac:dyDescent="0.3">
      <c r="A44" s="265">
        <v>45488</v>
      </c>
      <c r="B44" s="243">
        <v>0.1076</v>
      </c>
      <c r="C44" s="244">
        <v>0.1066</v>
      </c>
      <c r="D44" s="245">
        <v>0.2</v>
      </c>
      <c r="E44" s="246">
        <v>0.16489999999999999</v>
      </c>
      <c r="F44" s="7">
        <v>0.12</v>
      </c>
      <c r="H44" s="265">
        <f t="shared" ref="H44" si="10">A44</f>
        <v>45488</v>
      </c>
      <c r="I44" s="99">
        <v>0.70099999999999996</v>
      </c>
      <c r="J44" s="247">
        <v>0.93400000000000005</v>
      </c>
      <c r="K44" s="248">
        <v>0.82899999999999996</v>
      </c>
      <c r="L44" s="249">
        <v>0.54300000000000004</v>
      </c>
      <c r="M44" s="250">
        <v>0.63300000000000001</v>
      </c>
      <c r="N44" s="251">
        <v>0.71399999999999997</v>
      </c>
      <c r="O44" s="252">
        <v>0.32500000000000001</v>
      </c>
      <c r="P44" s="253">
        <v>0.39300000000000002</v>
      </c>
      <c r="Q44" s="254">
        <v>0.39300000000000002</v>
      </c>
      <c r="R44" s="279">
        <v>0.373</v>
      </c>
      <c r="T44" s="265">
        <f t="shared" ref="T44" si="11">A44</f>
        <v>45488</v>
      </c>
      <c r="U44" s="115">
        <v>4.8619999999999997E-2</v>
      </c>
      <c r="V44" s="115">
        <v>4.4720000000000003E-2</v>
      </c>
      <c r="W44" s="115">
        <v>4.2470000000000001E-2</v>
      </c>
      <c r="X44" s="115">
        <v>4.138E-2</v>
      </c>
    </row>
    <row r="45" spans="1:24" ht="15" hidden="1" customHeight="1" x14ac:dyDescent="0.3">
      <c r="A45" s="265">
        <v>45495</v>
      </c>
      <c r="B45" s="243">
        <v>0.13519999999999999</v>
      </c>
      <c r="C45" s="244">
        <v>0.12889999999999999</v>
      </c>
      <c r="D45" s="245">
        <v>0.20979999999999999</v>
      </c>
      <c r="E45" s="246">
        <v>0.19270000000000001</v>
      </c>
      <c r="F45" s="7">
        <v>0.14000000000000001</v>
      </c>
      <c r="H45" s="265">
        <v>45495</v>
      </c>
      <c r="I45" s="99">
        <v>0.69499999999999995</v>
      </c>
      <c r="J45" s="247">
        <v>0.93500000000000005</v>
      </c>
      <c r="K45" s="248">
        <v>0.81299999999999994</v>
      </c>
      <c r="L45" s="249">
        <v>0.52800000000000002</v>
      </c>
      <c r="M45" s="250">
        <v>0.61199999999999999</v>
      </c>
      <c r="N45" s="251">
        <v>0.72299999999999998</v>
      </c>
      <c r="O45" s="252">
        <v>0.36</v>
      </c>
      <c r="P45" s="253">
        <v>0.41099999999999998</v>
      </c>
      <c r="Q45" s="254">
        <v>0.38200000000000001</v>
      </c>
      <c r="R45" s="279">
        <v>0.35399999999999998</v>
      </c>
      <c r="T45" s="265">
        <v>45495</v>
      </c>
      <c r="U45" s="115">
        <v>4.8800000000000003E-2</v>
      </c>
      <c r="V45" s="115">
        <v>4.5199999999999997E-2</v>
      </c>
      <c r="W45" s="115">
        <v>4.2799999999999998E-2</v>
      </c>
      <c r="X45" s="115">
        <v>4.1500000000000002E-2</v>
      </c>
    </row>
    <row r="46" spans="1:24" ht="15" hidden="1" customHeight="1" x14ac:dyDescent="0.3">
      <c r="A46" s="265">
        <v>45502</v>
      </c>
      <c r="B46" s="243">
        <v>0.1459</v>
      </c>
      <c r="C46" s="244">
        <v>0.12759999999999999</v>
      </c>
      <c r="D46" s="245">
        <v>0.23960000000000001</v>
      </c>
      <c r="E46" s="246">
        <v>0.20810000000000001</v>
      </c>
      <c r="F46" s="7">
        <v>0.14649999999999999</v>
      </c>
      <c r="H46" s="265">
        <f t="shared" ref="H46:H51" si="12">A46</f>
        <v>45502</v>
      </c>
      <c r="I46" s="99">
        <v>0.69499999999999995</v>
      </c>
      <c r="J46" s="247">
        <v>0.94</v>
      </c>
      <c r="K46" s="248">
        <v>0.81399999999999995</v>
      </c>
      <c r="L46" s="249">
        <v>0.53400000000000003</v>
      </c>
      <c r="M46" s="250">
        <v>0.62</v>
      </c>
      <c r="N46" s="251">
        <v>0.72399999999999998</v>
      </c>
      <c r="O46" s="252">
        <v>0.38700000000000001</v>
      </c>
      <c r="P46" s="253">
        <v>0.45</v>
      </c>
      <c r="Q46" s="254">
        <v>0.42099999999999999</v>
      </c>
      <c r="R46" s="279">
        <v>0.39200000000000002</v>
      </c>
      <c r="T46" s="265">
        <f t="shared" ref="T46:T51" si="13">H46</f>
        <v>45502</v>
      </c>
      <c r="U46" s="115">
        <v>4.7989999999999998E-2</v>
      </c>
      <c r="V46" s="115">
        <v>4.3810000000000002E-2</v>
      </c>
      <c r="W46" s="115">
        <v>4.1860000000000001E-2</v>
      </c>
      <c r="X46" s="115">
        <v>4.054E-2</v>
      </c>
    </row>
    <row r="47" spans="1:24" ht="15" hidden="1" customHeight="1" x14ac:dyDescent="0.3">
      <c r="A47" s="265">
        <v>45516</v>
      </c>
      <c r="B47" s="243">
        <v>0.17130000000000001</v>
      </c>
      <c r="C47" s="244">
        <v>0.14449999999999999</v>
      </c>
      <c r="D47" s="245">
        <v>0.249</v>
      </c>
      <c r="E47" s="246">
        <v>0.2341</v>
      </c>
      <c r="F47" s="7">
        <v>0.1628</v>
      </c>
      <c r="H47" s="265">
        <f t="shared" si="12"/>
        <v>45516</v>
      </c>
      <c r="I47" s="99">
        <v>0.71899999999999997</v>
      </c>
      <c r="J47" s="247">
        <v>0.94299999999999995</v>
      </c>
      <c r="K47" s="248">
        <v>0.82799999999999996</v>
      </c>
      <c r="L47" s="249">
        <v>0.56899999999999995</v>
      </c>
      <c r="M47" s="250">
        <v>0.64500000000000002</v>
      </c>
      <c r="N47" s="251">
        <v>0.753</v>
      </c>
      <c r="O47" s="252">
        <v>0.4</v>
      </c>
      <c r="P47" s="253">
        <v>0.46600000000000003</v>
      </c>
      <c r="Q47" s="254">
        <v>0.45900000000000002</v>
      </c>
      <c r="R47" s="279">
        <v>0.42699999999999999</v>
      </c>
      <c r="T47" s="265">
        <f t="shared" si="13"/>
        <v>45516</v>
      </c>
      <c r="U47" s="115">
        <v>4.4929999999999998E-2</v>
      </c>
      <c r="V47" s="115">
        <v>4.0730000000000002E-2</v>
      </c>
      <c r="W47" s="115">
        <v>3.8929999999999999E-2</v>
      </c>
      <c r="X47" s="115">
        <v>3.8129999999999997E-2</v>
      </c>
    </row>
    <row r="48" spans="1:24" ht="15" hidden="1" customHeight="1" x14ac:dyDescent="0.3">
      <c r="A48" s="265">
        <v>45523</v>
      </c>
      <c r="B48" s="243">
        <v>0.13189999999999999</v>
      </c>
      <c r="C48" s="244">
        <v>0.1111</v>
      </c>
      <c r="D48" s="245">
        <v>0.20449999999999999</v>
      </c>
      <c r="E48" s="246">
        <v>0.17519999999999999</v>
      </c>
      <c r="F48" s="7">
        <v>0.13139999999999999</v>
      </c>
      <c r="H48" s="265">
        <f t="shared" si="12"/>
        <v>45523</v>
      </c>
      <c r="I48" s="99">
        <v>0.72199999999999998</v>
      </c>
      <c r="J48" s="247">
        <v>0.94399999999999995</v>
      </c>
      <c r="K48" s="248">
        <v>0.83099999999999996</v>
      </c>
      <c r="L48" s="249">
        <v>0.57799999999999996</v>
      </c>
      <c r="M48" s="250">
        <v>0.65200000000000002</v>
      </c>
      <c r="N48" s="251">
        <v>0.753</v>
      </c>
      <c r="O48" s="252">
        <v>0.40200000000000002</v>
      </c>
      <c r="P48" s="253">
        <v>0.46700000000000003</v>
      </c>
      <c r="Q48" s="254">
        <v>0.46200000000000002</v>
      </c>
      <c r="R48" s="279">
        <v>0.43099999999999999</v>
      </c>
      <c r="T48" s="265">
        <f t="shared" si="13"/>
        <v>45523</v>
      </c>
      <c r="U48" s="115">
        <v>4.4839999999999998E-2</v>
      </c>
      <c r="V48" s="115">
        <v>4.0770000000000001E-2</v>
      </c>
      <c r="W48" s="115">
        <v>3.8830000000000003E-2</v>
      </c>
      <c r="X48" s="115">
        <v>3.78E-2</v>
      </c>
    </row>
    <row r="49" spans="1:24" ht="15" hidden="1" customHeight="1" x14ac:dyDescent="0.3">
      <c r="A49" s="265">
        <v>45544</v>
      </c>
      <c r="B49" s="243">
        <v>0.1736</v>
      </c>
      <c r="C49" s="244">
        <v>0.153</v>
      </c>
      <c r="D49" s="245">
        <v>0.25440000000000002</v>
      </c>
      <c r="E49" s="246">
        <v>0.2402</v>
      </c>
      <c r="F49" s="7">
        <v>0.16689999999999999</v>
      </c>
      <c r="H49" s="265">
        <f t="shared" si="12"/>
        <v>45544</v>
      </c>
      <c r="I49" s="99">
        <v>0.73199999999999998</v>
      </c>
      <c r="J49" s="247">
        <v>0.94699999999999995</v>
      </c>
      <c r="K49" s="248">
        <v>0.83399999999999996</v>
      </c>
      <c r="L49" s="249">
        <v>0.59399999999999997</v>
      </c>
      <c r="M49" s="250">
        <v>0.66100000000000003</v>
      </c>
      <c r="N49" s="251">
        <v>0.76300000000000001</v>
      </c>
      <c r="O49" s="252">
        <v>0.40500000000000003</v>
      </c>
      <c r="P49" s="253">
        <v>0.47099999999999997</v>
      </c>
      <c r="Q49" s="254">
        <v>0.47099999999999997</v>
      </c>
      <c r="R49" s="279">
        <v>0.437</v>
      </c>
      <c r="T49" s="265">
        <f t="shared" si="13"/>
        <v>45544</v>
      </c>
      <c r="U49" s="115">
        <v>4.1480000000000003E-2</v>
      </c>
      <c r="V49" s="115">
        <v>3.6999999999999998E-2</v>
      </c>
      <c r="W49" s="115">
        <v>3.5720000000000002E-2</v>
      </c>
      <c r="X49" s="115">
        <v>3.5290000000000002E-2</v>
      </c>
    </row>
    <row r="50" spans="1:24" ht="15" hidden="1" customHeight="1" x14ac:dyDescent="0.3">
      <c r="A50" s="265">
        <v>45551</v>
      </c>
      <c r="B50" s="243">
        <v>0.1414</v>
      </c>
      <c r="C50" s="244">
        <v>0.1215</v>
      </c>
      <c r="D50" s="245">
        <v>0.2303</v>
      </c>
      <c r="E50" s="246">
        <v>0.18870000000000001</v>
      </c>
      <c r="F50" s="7">
        <v>0.14130000000000001</v>
      </c>
      <c r="H50" s="265">
        <f t="shared" si="12"/>
        <v>45551</v>
      </c>
      <c r="I50" s="99">
        <v>0.72899999999999998</v>
      </c>
      <c r="J50" s="247">
        <v>0.94599999999999995</v>
      </c>
      <c r="K50" s="248">
        <v>0.83199999999999996</v>
      </c>
      <c r="L50" s="249">
        <v>0.59</v>
      </c>
      <c r="M50" s="250">
        <v>0.65800000000000003</v>
      </c>
      <c r="N50" s="251">
        <v>0.75900000000000001</v>
      </c>
      <c r="O50" s="252">
        <v>0.40899999999999997</v>
      </c>
      <c r="P50" s="253">
        <v>0.47599999999999998</v>
      </c>
      <c r="Q50" s="254">
        <v>0.47299999999999998</v>
      </c>
      <c r="R50" s="279">
        <v>0.443</v>
      </c>
      <c r="T50" s="265">
        <f t="shared" si="13"/>
        <v>45551</v>
      </c>
      <c r="U50" s="115">
        <v>3.968E-2</v>
      </c>
      <c r="V50" s="115">
        <v>3.5650000000000001E-2</v>
      </c>
      <c r="W50" s="115">
        <v>3.4299999999999997E-2</v>
      </c>
      <c r="X50" s="115">
        <v>3.4270000000000002E-2</v>
      </c>
    </row>
    <row r="51" spans="1:24" ht="15" hidden="1" customHeight="1" x14ac:dyDescent="0.3">
      <c r="A51" s="265">
        <v>45558</v>
      </c>
      <c r="B51" s="243">
        <v>0.12820000000000001</v>
      </c>
      <c r="C51" s="244">
        <v>0.1192</v>
      </c>
      <c r="D51" s="245">
        <v>0.19839999999999999</v>
      </c>
      <c r="E51" s="246">
        <v>0.1709</v>
      </c>
      <c r="F51" s="7">
        <v>0.1371</v>
      </c>
      <c r="H51" s="265">
        <f t="shared" si="12"/>
        <v>45558</v>
      </c>
      <c r="I51" s="99">
        <v>0.73099999999999998</v>
      </c>
      <c r="J51" s="247">
        <v>0.94650000000000001</v>
      </c>
      <c r="K51" s="248">
        <v>0.83150000000000002</v>
      </c>
      <c r="L51" s="249">
        <v>0.59050000000000002</v>
      </c>
      <c r="M51" s="250">
        <v>0.65700000000000003</v>
      </c>
      <c r="N51" s="251">
        <v>0.75800000000000001</v>
      </c>
      <c r="O51" s="252">
        <v>0.40799999999999997</v>
      </c>
      <c r="P51" s="253">
        <v>0.47499999999999998</v>
      </c>
      <c r="Q51" s="254">
        <v>0.47</v>
      </c>
      <c r="R51" s="279">
        <v>0.44400000000000001</v>
      </c>
      <c r="T51" s="265">
        <f t="shared" si="13"/>
        <v>45558</v>
      </c>
      <c r="U51" s="115">
        <v>3.9320000000000001E-2</v>
      </c>
      <c r="V51" s="115">
        <v>3.603E-2</v>
      </c>
      <c r="W51" s="115">
        <v>3.499E-2</v>
      </c>
      <c r="X51" s="115">
        <v>3.5270000000000003E-2</v>
      </c>
    </row>
    <row r="52" spans="1:24" ht="15" hidden="1" customHeight="1" x14ac:dyDescent="0.3">
      <c r="A52" s="265">
        <v>45565</v>
      </c>
      <c r="B52" s="243">
        <v>0.1336</v>
      </c>
      <c r="C52" s="244">
        <v>0.13270000000000001</v>
      </c>
      <c r="D52" s="245">
        <v>0.2019</v>
      </c>
      <c r="E52" s="246">
        <v>0.17460000000000001</v>
      </c>
      <c r="F52" s="7">
        <v>0.14099999999999999</v>
      </c>
      <c r="H52" s="265">
        <f t="shared" ref="H52" si="14">A52</f>
        <v>45565</v>
      </c>
      <c r="I52" s="99">
        <v>0.72899999999999998</v>
      </c>
      <c r="J52" s="247">
        <v>0.94699999999999995</v>
      </c>
      <c r="K52" s="248">
        <v>0.82899999999999996</v>
      </c>
      <c r="L52" s="249">
        <v>0.59</v>
      </c>
      <c r="M52" s="250">
        <v>0.65300000000000002</v>
      </c>
      <c r="N52" s="251">
        <v>0.76</v>
      </c>
      <c r="O52" s="252">
        <v>0.42199999999999999</v>
      </c>
      <c r="P52" s="253">
        <v>0.48</v>
      </c>
      <c r="Q52" s="254">
        <v>0.47399999999999998</v>
      </c>
      <c r="R52" s="279">
        <v>0.44500000000000001</v>
      </c>
      <c r="T52" s="265">
        <f t="shared" ref="T52" si="15">H52</f>
        <v>45565</v>
      </c>
      <c r="U52" s="115">
        <v>3.9780000000000003E-2</v>
      </c>
      <c r="V52" s="115">
        <v>3.6269999999999997E-2</v>
      </c>
      <c r="W52" s="115">
        <v>3.5389999999999998E-2</v>
      </c>
      <c r="X52" s="115">
        <v>3.5569999999999997E-2</v>
      </c>
    </row>
    <row r="53" spans="1:24" ht="15" hidden="1" customHeight="1" x14ac:dyDescent="0.3">
      <c r="A53" s="265">
        <v>45572</v>
      </c>
      <c r="B53" s="243">
        <v>0.17249999999999999</v>
      </c>
      <c r="C53" s="244">
        <v>0.14249999999999999</v>
      </c>
      <c r="D53" s="245">
        <v>0.2301</v>
      </c>
      <c r="E53" s="246">
        <v>0.1799</v>
      </c>
      <c r="F53" s="7">
        <v>0.16500000000000001</v>
      </c>
      <c r="H53" s="265">
        <f t="shared" ref="H53:H57" si="16">A53</f>
        <v>45572</v>
      </c>
      <c r="I53" s="99">
        <v>0.73099999999999998</v>
      </c>
      <c r="J53" s="247">
        <v>0.94599999999999995</v>
      </c>
      <c r="K53" s="248">
        <v>0.82499999999999996</v>
      </c>
      <c r="L53" s="249">
        <v>0.59199999999999997</v>
      </c>
      <c r="M53" s="250">
        <v>0.64800000000000002</v>
      </c>
      <c r="N53" s="251">
        <v>0.76</v>
      </c>
      <c r="O53" s="252">
        <v>0.41899999999999998</v>
      </c>
      <c r="P53" s="253">
        <v>0.47599999999999998</v>
      </c>
      <c r="Q53" s="254">
        <v>0.47399999999999998</v>
      </c>
      <c r="R53" s="279">
        <v>0.442</v>
      </c>
      <c r="T53" s="265">
        <f t="shared" ref="T53:T55" si="17">H53</f>
        <v>45572</v>
      </c>
      <c r="U53" s="115">
        <v>4.267E-2</v>
      </c>
      <c r="V53" s="115">
        <v>4.02E-2</v>
      </c>
      <c r="W53" s="115">
        <v>3.9269999999999999E-2</v>
      </c>
      <c r="X53" s="115">
        <v>3.882E-2</v>
      </c>
    </row>
    <row r="54" spans="1:24" ht="15" hidden="1" customHeight="1" x14ac:dyDescent="0.3">
      <c r="A54" s="265">
        <v>45579</v>
      </c>
      <c r="B54" s="243">
        <v>0.1603</v>
      </c>
      <c r="C54" s="244">
        <v>0.14799999999999999</v>
      </c>
      <c r="D54" s="245">
        <v>0.24349999999999999</v>
      </c>
      <c r="E54" s="246">
        <v>0.20349999999999999</v>
      </c>
      <c r="F54" s="7">
        <v>0.15620000000000001</v>
      </c>
      <c r="H54" s="265">
        <f t="shared" si="16"/>
        <v>45579</v>
      </c>
      <c r="I54" s="99">
        <v>0.72599999999999998</v>
      </c>
      <c r="J54" s="247">
        <v>0.94699999999999995</v>
      </c>
      <c r="K54" s="248">
        <v>0.82399999999999995</v>
      </c>
      <c r="L54" s="249">
        <v>0.58599999999999997</v>
      </c>
      <c r="M54" s="250">
        <v>0.64800000000000002</v>
      </c>
      <c r="N54" s="251">
        <v>0.75900000000000001</v>
      </c>
      <c r="O54" s="252">
        <v>0.41099999999999998</v>
      </c>
      <c r="P54" s="253">
        <v>0.47199999999999998</v>
      </c>
      <c r="Q54" s="254">
        <v>0.47299999999999998</v>
      </c>
      <c r="R54" s="279">
        <v>0.44600000000000001</v>
      </c>
      <c r="T54" s="265">
        <f t="shared" si="17"/>
        <v>45579</v>
      </c>
      <c r="U54" s="115">
        <v>4.1799999999999997E-2</v>
      </c>
      <c r="V54" s="115">
        <v>3.9600000000000003E-2</v>
      </c>
      <c r="W54" s="115">
        <v>3.8800000000000001E-2</v>
      </c>
      <c r="X54" s="115">
        <v>3.9019999999999999E-2</v>
      </c>
    </row>
    <row r="55" spans="1:24" ht="15" hidden="1" customHeight="1" x14ac:dyDescent="0.3">
      <c r="A55" s="265">
        <v>45586</v>
      </c>
      <c r="B55" s="243">
        <v>0.15210000000000001</v>
      </c>
      <c r="C55" s="244">
        <v>0.13750000000000001</v>
      </c>
      <c r="D55" s="245">
        <v>0.24030000000000001</v>
      </c>
      <c r="E55" s="246">
        <v>0.18740000000000001</v>
      </c>
      <c r="F55" s="7">
        <v>0.15440000000000001</v>
      </c>
      <c r="H55" s="265">
        <f t="shared" si="16"/>
        <v>45586</v>
      </c>
      <c r="I55" s="99">
        <v>0.71899999999999997</v>
      </c>
      <c r="J55" s="247">
        <v>0.94699999999999995</v>
      </c>
      <c r="K55" s="248">
        <v>0.82099999999999995</v>
      </c>
      <c r="L55" s="249">
        <v>0.57799999999999996</v>
      </c>
      <c r="M55" s="250">
        <v>0.64400000000000002</v>
      </c>
      <c r="N55" s="251">
        <v>0.752</v>
      </c>
      <c r="O55" s="252">
        <v>0.40400000000000003</v>
      </c>
      <c r="P55" s="253">
        <v>0.45800000000000002</v>
      </c>
      <c r="Q55" s="254">
        <v>0.45</v>
      </c>
      <c r="R55" s="279">
        <v>0.437</v>
      </c>
      <c r="T55" s="265">
        <f t="shared" si="17"/>
        <v>45586</v>
      </c>
      <c r="U55" s="115">
        <v>4.2000000000000003E-2</v>
      </c>
      <c r="V55" s="115">
        <v>3.9800000000000002E-2</v>
      </c>
      <c r="W55" s="115">
        <v>3.9100000000000003E-2</v>
      </c>
      <c r="X55" s="115">
        <v>3.9300000000000002E-2</v>
      </c>
    </row>
    <row r="56" spans="1:24" ht="15" hidden="1" customHeight="1" x14ac:dyDescent="0.3">
      <c r="A56" s="265">
        <v>45593</v>
      </c>
      <c r="B56" s="243">
        <v>0.1575</v>
      </c>
      <c r="C56" s="244">
        <v>0.15409999999999999</v>
      </c>
      <c r="D56" s="245">
        <v>0.25080000000000002</v>
      </c>
      <c r="E56" s="246">
        <v>0.21290000000000001</v>
      </c>
      <c r="F56" s="7">
        <v>0.15809999999999999</v>
      </c>
      <c r="H56" s="265">
        <f t="shared" si="16"/>
        <v>45593</v>
      </c>
      <c r="I56" s="99">
        <v>0.72199999999999998</v>
      </c>
      <c r="J56" s="247">
        <v>0.94599999999999995</v>
      </c>
      <c r="K56" s="248">
        <v>0.81899999999999995</v>
      </c>
      <c r="L56" s="249">
        <v>0.57699999999999996</v>
      </c>
      <c r="M56" s="250">
        <v>0.64200000000000002</v>
      </c>
      <c r="N56" s="251">
        <v>0.76</v>
      </c>
      <c r="O56" s="252">
        <v>0.40799999999999997</v>
      </c>
      <c r="P56" s="253">
        <v>0.46</v>
      </c>
      <c r="Q56" s="254">
        <v>0.45400000000000001</v>
      </c>
      <c r="R56" s="279">
        <v>0.433</v>
      </c>
      <c r="T56" s="265">
        <v>45593</v>
      </c>
      <c r="U56" s="115">
        <v>4.2799999999999998E-2</v>
      </c>
      <c r="V56" s="115">
        <v>4.0899999999999999E-2</v>
      </c>
      <c r="W56" s="115">
        <v>4.0399999999999998E-2</v>
      </c>
      <c r="X56" s="115">
        <v>4.0599999999999997E-2</v>
      </c>
    </row>
    <row r="57" spans="1:24" ht="15" hidden="1" customHeight="1" x14ac:dyDescent="0.3">
      <c r="A57" s="265">
        <v>45600</v>
      </c>
      <c r="B57" s="243">
        <v>0.18140000000000001</v>
      </c>
      <c r="C57" s="244">
        <v>0.16750000000000001</v>
      </c>
      <c r="D57" s="245">
        <v>0.26019999999999999</v>
      </c>
      <c r="E57" s="246">
        <v>0.22270000000000001</v>
      </c>
      <c r="F57" s="7">
        <v>0.1714</v>
      </c>
      <c r="H57" s="265">
        <f t="shared" si="16"/>
        <v>45600</v>
      </c>
      <c r="I57" s="99">
        <v>0.71799999999999997</v>
      </c>
      <c r="J57" s="247">
        <v>0.94699999999999995</v>
      </c>
      <c r="K57" s="248">
        <v>0.81299999999999994</v>
      </c>
      <c r="L57" s="249">
        <v>0.57499999999999996</v>
      </c>
      <c r="M57" s="250">
        <v>0.63600000000000001</v>
      </c>
      <c r="N57" s="251">
        <v>0.76</v>
      </c>
      <c r="O57" s="252">
        <v>0.40799999999999997</v>
      </c>
      <c r="P57" s="253">
        <v>0.45600000000000002</v>
      </c>
      <c r="Q57" s="254">
        <v>0.45100000000000001</v>
      </c>
      <c r="R57" s="279">
        <v>0.43</v>
      </c>
      <c r="T57" s="265">
        <v>45600</v>
      </c>
      <c r="U57" s="115">
        <v>4.2200000000000001E-2</v>
      </c>
      <c r="V57" s="115">
        <v>4.1399999999999999E-2</v>
      </c>
      <c r="W57" s="115">
        <v>4.1099999999999998E-2</v>
      </c>
      <c r="X57" s="115">
        <v>4.1300000000000003E-2</v>
      </c>
    </row>
    <row r="58" spans="1:24" ht="15" hidden="1" customHeight="1" x14ac:dyDescent="0.3">
      <c r="A58" s="265">
        <v>45607</v>
      </c>
      <c r="B58" s="243">
        <v>0.1212</v>
      </c>
      <c r="C58" s="244">
        <v>0.11187</v>
      </c>
      <c r="D58" s="245">
        <v>0.2021</v>
      </c>
      <c r="E58" s="246">
        <v>0.15970000000000001</v>
      </c>
      <c r="F58" s="7">
        <v>0.13850000000000001</v>
      </c>
      <c r="H58" s="265">
        <f t="shared" ref="H58" si="18">A58</f>
        <v>45607</v>
      </c>
      <c r="I58" s="99">
        <v>0.73</v>
      </c>
      <c r="J58" s="247">
        <v>0.94699999999999995</v>
      </c>
      <c r="K58" s="248">
        <v>0.81599999999999995</v>
      </c>
      <c r="L58" s="249">
        <v>0.58499999999999996</v>
      </c>
      <c r="M58" s="250">
        <v>0.63800000000000001</v>
      </c>
      <c r="N58" s="251">
        <v>0.77800000000000002</v>
      </c>
      <c r="O58" s="252">
        <v>0.40699999999999997</v>
      </c>
      <c r="P58" s="253">
        <v>0.442</v>
      </c>
      <c r="Q58" s="254">
        <v>0.40899999999999997</v>
      </c>
      <c r="R58" s="279">
        <v>0.38</v>
      </c>
      <c r="T58" s="265">
        <f>A58</f>
        <v>45607</v>
      </c>
      <c r="U58" s="115">
        <v>4.3119999999999999E-2</v>
      </c>
      <c r="V58" s="115">
        <v>4.2639999999999997E-2</v>
      </c>
      <c r="W58" s="115">
        <v>4.2049999999999997E-2</v>
      </c>
      <c r="X58" s="115">
        <v>4.197E-2</v>
      </c>
    </row>
    <row r="59" spans="1:24" ht="17.25" hidden="1" customHeight="1" x14ac:dyDescent="0.3">
      <c r="A59" s="265">
        <v>45614</v>
      </c>
      <c r="B59" s="243">
        <v>0.1366</v>
      </c>
      <c r="C59" s="244">
        <v>0.122</v>
      </c>
      <c r="D59" s="245">
        <v>0.20580000000000001</v>
      </c>
      <c r="E59" s="246">
        <v>0.17649999999999999</v>
      </c>
      <c r="F59" s="7">
        <v>0.1583</v>
      </c>
      <c r="H59" s="265">
        <f t="shared" ref="H59" si="19">A59</f>
        <v>45614</v>
      </c>
      <c r="I59" s="99">
        <v>0.72799999999999998</v>
      </c>
      <c r="J59" s="247">
        <v>0.94699999999999995</v>
      </c>
      <c r="K59" s="248">
        <v>0.81299999999999994</v>
      </c>
      <c r="L59" s="249">
        <v>0.58299999999999996</v>
      </c>
      <c r="M59" s="250">
        <v>0.63400000000000001</v>
      </c>
      <c r="N59" s="251">
        <v>0.78400000000000003</v>
      </c>
      <c r="O59" s="252">
        <v>0.39200000000000002</v>
      </c>
      <c r="P59" s="253">
        <v>0.42299999999999999</v>
      </c>
      <c r="Q59" s="254">
        <v>0.39400000000000002</v>
      </c>
      <c r="R59" s="279">
        <v>0.374</v>
      </c>
      <c r="T59" s="265">
        <f>A59</f>
        <v>45614</v>
      </c>
      <c r="U59" s="115">
        <v>4.3400000000000001E-2</v>
      </c>
      <c r="V59" s="115">
        <v>4.308E-2</v>
      </c>
      <c r="W59" s="115">
        <v>4.2770000000000002E-2</v>
      </c>
      <c r="X59" s="115">
        <v>4.317E-2</v>
      </c>
    </row>
    <row r="60" spans="1:24" ht="17.25" hidden="1" customHeight="1" x14ac:dyDescent="0.3">
      <c r="A60" s="265">
        <v>45621</v>
      </c>
      <c r="B60" s="243">
        <v>0.11559999999999999</v>
      </c>
      <c r="C60" s="244">
        <v>0.1143</v>
      </c>
      <c r="D60" s="245">
        <v>0.21440000000000001</v>
      </c>
      <c r="E60" s="246">
        <v>0.16120000000000001</v>
      </c>
      <c r="F60" s="7">
        <v>0.14380000000000001</v>
      </c>
      <c r="H60" s="265">
        <v>45621</v>
      </c>
      <c r="I60" s="99">
        <v>0.72799999999999998</v>
      </c>
      <c r="J60" s="247">
        <v>0.94599999999999995</v>
      </c>
      <c r="K60" s="248">
        <v>0.80800000000000005</v>
      </c>
      <c r="L60" s="249">
        <v>0.57999999999999996</v>
      </c>
      <c r="M60" s="250">
        <v>0.627</v>
      </c>
      <c r="N60" s="251">
        <v>0.78500000000000003</v>
      </c>
      <c r="O60" s="252">
        <v>0.38800000000000001</v>
      </c>
      <c r="P60" s="253">
        <v>0.42099999999999999</v>
      </c>
      <c r="Q60" s="254">
        <v>0.39300000000000002</v>
      </c>
      <c r="R60" s="279">
        <v>0.377</v>
      </c>
      <c r="T60" s="265">
        <v>45621</v>
      </c>
      <c r="U60" s="115">
        <v>4.3799999999999999E-2</v>
      </c>
      <c r="V60" s="115">
        <v>4.3099999999999999E-2</v>
      </c>
      <c r="W60" s="115">
        <v>4.24E-2</v>
      </c>
      <c r="X60" s="115">
        <v>4.2099999999999999E-2</v>
      </c>
    </row>
    <row r="61" spans="1:24" ht="17.25" hidden="1" customHeight="1" x14ac:dyDescent="0.3">
      <c r="A61" s="265">
        <v>45628</v>
      </c>
      <c r="B61" s="243">
        <v>0.1033</v>
      </c>
      <c r="C61" s="244">
        <v>0.11210000000000001</v>
      </c>
      <c r="D61" s="245">
        <v>0.21290000000000001</v>
      </c>
      <c r="E61" s="246">
        <v>0.14149999999999999</v>
      </c>
      <c r="F61" s="7">
        <v>0.13200000000000001</v>
      </c>
      <c r="H61" s="265">
        <v>45628</v>
      </c>
      <c r="I61" s="99">
        <v>0.73099999999999998</v>
      </c>
      <c r="J61" s="247">
        <v>0.94699999999999995</v>
      </c>
      <c r="K61" s="248">
        <v>0.81100000000000005</v>
      </c>
      <c r="L61" s="249">
        <v>0.58699999999999997</v>
      </c>
      <c r="M61" s="250">
        <v>0.63400000000000001</v>
      </c>
      <c r="N61" s="251">
        <v>0.79200000000000004</v>
      </c>
      <c r="O61" s="252">
        <v>0.39</v>
      </c>
      <c r="P61" s="253">
        <v>0.41899999999999998</v>
      </c>
      <c r="Q61" s="254">
        <v>0.39</v>
      </c>
      <c r="R61" s="279">
        <v>0.376</v>
      </c>
      <c r="T61" s="265">
        <v>45628</v>
      </c>
      <c r="U61" s="115">
        <v>4.3200000000000002E-2</v>
      </c>
      <c r="V61" s="115">
        <v>4.2200000000000001E-2</v>
      </c>
      <c r="W61" s="115">
        <v>4.1599999999999998E-2</v>
      </c>
      <c r="X61" s="115">
        <v>4.1209999999999997E-2</v>
      </c>
    </row>
    <row r="62" spans="1:24" ht="17.25" hidden="1" customHeight="1" x14ac:dyDescent="0.3">
      <c r="A62" s="265">
        <v>45635</v>
      </c>
      <c r="B62" s="243">
        <v>0.1002</v>
      </c>
      <c r="C62" s="244">
        <v>0.1079</v>
      </c>
      <c r="D62" s="245">
        <v>0.18779999999999999</v>
      </c>
      <c r="E62" s="246">
        <v>0.13070000000000001</v>
      </c>
      <c r="F62" s="7">
        <v>0.1154</v>
      </c>
      <c r="H62" s="265">
        <v>45635</v>
      </c>
      <c r="I62" s="99">
        <v>0.73</v>
      </c>
      <c r="J62" s="247">
        <v>0.94599999999999995</v>
      </c>
      <c r="K62" s="248">
        <v>0.81</v>
      </c>
      <c r="L62" s="249">
        <v>0.58499999999999996</v>
      </c>
      <c r="M62" s="250">
        <v>0.63</v>
      </c>
      <c r="N62" s="251">
        <v>0.79100000000000004</v>
      </c>
      <c r="O62" s="252">
        <v>0.39800000000000002</v>
      </c>
      <c r="P62" s="253">
        <v>0.42199999999999999</v>
      </c>
      <c r="Q62" s="254">
        <v>0.39</v>
      </c>
      <c r="R62" s="279">
        <v>0.37</v>
      </c>
      <c r="T62" s="265">
        <v>45635</v>
      </c>
      <c r="U62" s="115">
        <v>4.19E-2</v>
      </c>
      <c r="V62" s="115">
        <v>4.1200000000000001E-2</v>
      </c>
      <c r="W62" s="115">
        <v>4.0800000000000003E-2</v>
      </c>
      <c r="X62" s="115">
        <v>4.07E-2</v>
      </c>
    </row>
    <row r="63" spans="1:24" ht="17.25" hidden="1" customHeight="1" x14ac:dyDescent="0.3">
      <c r="A63" s="265">
        <v>45642</v>
      </c>
      <c r="B63" s="243">
        <v>0.10929999999999999</v>
      </c>
      <c r="C63" s="244">
        <v>0.1135</v>
      </c>
      <c r="D63" s="245">
        <v>0.19670000000000001</v>
      </c>
      <c r="E63" s="246">
        <v>0.13930000000000001</v>
      </c>
      <c r="F63" s="7">
        <v>0.12180000000000001</v>
      </c>
      <c r="H63" s="265">
        <v>45642</v>
      </c>
      <c r="I63" s="99">
        <v>0.73399999999999999</v>
      </c>
      <c r="J63" s="247">
        <v>0.94599999999999995</v>
      </c>
      <c r="K63" s="248">
        <v>0.80600000000000005</v>
      </c>
      <c r="L63" s="249">
        <v>0.59299999999999997</v>
      </c>
      <c r="M63" s="250">
        <v>0.624</v>
      </c>
      <c r="N63" s="251">
        <v>0.79300000000000004</v>
      </c>
      <c r="O63" s="252">
        <v>0.4</v>
      </c>
      <c r="P63" s="253">
        <v>0.42699999999999999</v>
      </c>
      <c r="Q63" s="254">
        <v>0.39900000000000002</v>
      </c>
      <c r="R63" s="279">
        <v>0.374</v>
      </c>
      <c r="T63" s="265">
        <v>45642</v>
      </c>
      <c r="U63" s="115">
        <v>4.2200000000000001E-2</v>
      </c>
      <c r="V63" s="115">
        <v>4.224E-2</v>
      </c>
      <c r="W63" s="115">
        <v>4.1959999999999997E-2</v>
      </c>
      <c r="X63" s="115">
        <v>4.2250000000000003E-2</v>
      </c>
    </row>
    <row r="64" spans="1:24" ht="17.25" hidden="1" customHeight="1" x14ac:dyDescent="0.3">
      <c r="A64" s="265">
        <v>45670</v>
      </c>
      <c r="B64" s="243">
        <v>0.17130000000000001</v>
      </c>
      <c r="C64" s="244">
        <v>0.14419999999999999</v>
      </c>
      <c r="D64" s="245">
        <v>0.2364</v>
      </c>
      <c r="E64" s="246">
        <v>0.20469999999999999</v>
      </c>
      <c r="F64" s="7">
        <v>0.16189999999999999</v>
      </c>
      <c r="H64" s="265">
        <f t="shared" ref="H64:H69" si="20">A64</f>
        <v>45670</v>
      </c>
      <c r="I64" s="99">
        <v>0.746</v>
      </c>
      <c r="J64" s="247">
        <v>0.94799999999999995</v>
      </c>
      <c r="K64" s="248">
        <v>0.82099999999999995</v>
      </c>
      <c r="L64" s="249">
        <v>0.61</v>
      </c>
      <c r="M64" s="250">
        <v>0.64500000000000002</v>
      </c>
      <c r="N64" s="251">
        <v>0.80500000000000005</v>
      </c>
      <c r="O64" s="252">
        <v>0.36699999999999999</v>
      </c>
      <c r="P64" s="253">
        <v>0.38300000000000001</v>
      </c>
      <c r="Q64" s="254">
        <v>0.36</v>
      </c>
      <c r="R64" s="279">
        <v>0.33400000000000002</v>
      </c>
      <c r="T64" s="265">
        <f t="shared" ref="T64:T69" si="21">H64</f>
        <v>45670</v>
      </c>
      <c r="U64" s="115">
        <v>4.2220000000000001E-2</v>
      </c>
      <c r="V64" s="115">
        <v>4.3999999999999997E-2</v>
      </c>
      <c r="W64" s="115">
        <v>4.4850000000000001E-2</v>
      </c>
      <c r="X64" s="115">
        <v>4.5929999999999999E-2</v>
      </c>
    </row>
    <row r="65" spans="1:24" ht="17.25" hidden="1" customHeight="1" x14ac:dyDescent="0.3">
      <c r="A65" s="265">
        <v>45678</v>
      </c>
      <c r="B65" s="243">
        <v>0.128</v>
      </c>
      <c r="C65" s="244">
        <v>0.1142</v>
      </c>
      <c r="D65" s="245">
        <v>0.19289999999999999</v>
      </c>
      <c r="E65" s="246">
        <v>0.16969999999999999</v>
      </c>
      <c r="F65" s="7">
        <v>0.1386</v>
      </c>
      <c r="H65" s="265">
        <f t="shared" si="20"/>
        <v>45678</v>
      </c>
      <c r="I65" s="99">
        <v>0.747</v>
      </c>
      <c r="J65" s="247">
        <v>0.94799999999999995</v>
      </c>
      <c r="K65" s="248">
        <v>0.82099999999999995</v>
      </c>
      <c r="L65" s="249">
        <v>0.61299999999999999</v>
      </c>
      <c r="M65" s="250">
        <v>0.64500000000000002</v>
      </c>
      <c r="N65" s="251">
        <v>0.80500000000000005</v>
      </c>
      <c r="O65" s="252">
        <v>0.36599999999999999</v>
      </c>
      <c r="P65" s="253">
        <v>0.38200000000000001</v>
      </c>
      <c r="Q65" s="254">
        <v>0.35799999999999998</v>
      </c>
      <c r="R65" s="279">
        <v>0.33300000000000002</v>
      </c>
      <c r="T65" s="265">
        <f t="shared" si="21"/>
        <v>45678</v>
      </c>
      <c r="U65" s="115">
        <v>4.2130000000000001E-2</v>
      </c>
      <c r="V65" s="115">
        <v>4.2639999999999997E-2</v>
      </c>
      <c r="W65" s="115">
        <v>4.3130000000000002E-2</v>
      </c>
      <c r="X65" s="115">
        <v>4.3839999999999997E-2</v>
      </c>
    </row>
    <row r="66" spans="1:24" ht="15" hidden="1" customHeight="1" x14ac:dyDescent="0.3">
      <c r="A66" s="265">
        <v>45684</v>
      </c>
      <c r="B66" s="243">
        <v>0.1545</v>
      </c>
      <c r="C66" s="244">
        <v>0.108</v>
      </c>
      <c r="D66" s="245">
        <v>0.1802</v>
      </c>
      <c r="E66" s="246">
        <v>0.15670000000000001</v>
      </c>
      <c r="F66" s="7">
        <v>0.14630000000000001</v>
      </c>
      <c r="H66" s="265">
        <f t="shared" si="20"/>
        <v>45684</v>
      </c>
      <c r="I66" s="99">
        <v>0.747</v>
      </c>
      <c r="J66" s="247">
        <v>0.94799999999999995</v>
      </c>
      <c r="K66" s="248">
        <v>0.82220000000000004</v>
      </c>
      <c r="L66" s="249">
        <v>0.61199999999999999</v>
      </c>
      <c r="M66" s="250">
        <v>0.64700000000000002</v>
      </c>
      <c r="N66" s="251">
        <v>0.80400000000000005</v>
      </c>
      <c r="O66" s="252">
        <v>0.375</v>
      </c>
      <c r="P66" s="253">
        <v>0.39100000000000001</v>
      </c>
      <c r="Q66" s="254">
        <v>0.36799999999999999</v>
      </c>
      <c r="R66" s="279">
        <v>0.34200000000000003</v>
      </c>
      <c r="T66" s="265">
        <f t="shared" si="21"/>
        <v>45684</v>
      </c>
      <c r="U66" s="115">
        <v>4.1349999999999998E-2</v>
      </c>
      <c r="V66" s="115">
        <v>4.1860000000000001E-2</v>
      </c>
      <c r="W66" s="115">
        <v>4.2320000000000003E-2</v>
      </c>
      <c r="X66" s="115">
        <v>4.3229999999999998E-2</v>
      </c>
    </row>
    <row r="67" spans="1:24" ht="15" hidden="1" customHeight="1" x14ac:dyDescent="0.3">
      <c r="A67" s="265">
        <v>45691</v>
      </c>
      <c r="B67" s="243">
        <v>0.1532</v>
      </c>
      <c r="C67" s="244">
        <v>0.12180000000000001</v>
      </c>
      <c r="D67" s="245">
        <v>0.20119999999999999</v>
      </c>
      <c r="E67" s="246">
        <v>0.1875</v>
      </c>
      <c r="F67" s="7">
        <v>0.1125</v>
      </c>
      <c r="H67" s="265">
        <f t="shared" si="20"/>
        <v>45691</v>
      </c>
      <c r="I67" s="99">
        <v>0.746</v>
      </c>
      <c r="J67" s="247">
        <v>0.94699999999999995</v>
      </c>
      <c r="K67" s="248">
        <v>0.80800000000000005</v>
      </c>
      <c r="L67" s="249">
        <v>0.60699999999999998</v>
      </c>
      <c r="M67" s="250">
        <v>0.625</v>
      </c>
      <c r="N67" s="251">
        <v>0.80100000000000005</v>
      </c>
      <c r="O67" s="252">
        <v>0.379</v>
      </c>
      <c r="P67" s="253">
        <v>0.39600000000000002</v>
      </c>
      <c r="Q67" s="254">
        <v>0.376</v>
      </c>
      <c r="R67" s="279">
        <v>0.33800000000000002</v>
      </c>
      <c r="T67" s="265">
        <f t="shared" si="21"/>
        <v>45691</v>
      </c>
      <c r="U67" s="115">
        <v>4.2000000000000003E-2</v>
      </c>
      <c r="V67" s="115">
        <v>4.2430000000000002E-2</v>
      </c>
      <c r="W67" s="115">
        <v>4.2680000000000003E-2</v>
      </c>
      <c r="X67" s="115">
        <v>4.3249999999999997E-2</v>
      </c>
    </row>
    <row r="68" spans="1:24" ht="15" hidden="1" customHeight="1" x14ac:dyDescent="0.3">
      <c r="A68" s="265">
        <v>45698</v>
      </c>
      <c r="B68" s="243">
        <v>0.1255</v>
      </c>
      <c r="C68" s="244">
        <v>0.1158</v>
      </c>
      <c r="D68" s="245">
        <v>0.19450000000000001</v>
      </c>
      <c r="E68" s="246">
        <v>0.1802</v>
      </c>
      <c r="F68" s="7">
        <v>0.14000000000000001</v>
      </c>
      <c r="H68" s="265">
        <f t="shared" si="20"/>
        <v>45698</v>
      </c>
      <c r="I68" s="99">
        <v>0.752</v>
      </c>
      <c r="J68" s="247">
        <v>0.94799999999999995</v>
      </c>
      <c r="K68" s="248">
        <v>0.81</v>
      </c>
      <c r="L68" s="249">
        <v>0.61399999999999999</v>
      </c>
      <c r="M68" s="250">
        <v>0.629</v>
      </c>
      <c r="N68" s="251">
        <v>0.80600000000000005</v>
      </c>
      <c r="O68" s="252">
        <v>0.39</v>
      </c>
      <c r="P68" s="253">
        <v>0.40600000000000003</v>
      </c>
      <c r="Q68" s="254">
        <v>0.376</v>
      </c>
      <c r="R68" s="279">
        <v>0.33700000000000002</v>
      </c>
      <c r="T68" s="265">
        <f t="shared" si="21"/>
        <v>45698</v>
      </c>
      <c r="U68" s="115">
        <v>4.2410000000000003E-2</v>
      </c>
      <c r="V68" s="115">
        <v>4.2770000000000002E-2</v>
      </c>
      <c r="W68" s="115">
        <v>4.2979999999999997E-2</v>
      </c>
      <c r="X68" s="115">
        <v>4.333E-2</v>
      </c>
    </row>
    <row r="69" spans="1:24" ht="15" hidden="1" customHeight="1" x14ac:dyDescent="0.3">
      <c r="A69" s="265">
        <v>45706</v>
      </c>
      <c r="B69" s="243">
        <v>0.1174</v>
      </c>
      <c r="C69" s="244">
        <v>0.1069</v>
      </c>
      <c r="D69" s="245">
        <v>0.17660000000000001</v>
      </c>
      <c r="E69" s="246">
        <v>0.16020000000000001</v>
      </c>
      <c r="F69" s="7">
        <v>0.1086</v>
      </c>
      <c r="H69" s="265">
        <f t="shared" si="20"/>
        <v>45706</v>
      </c>
      <c r="I69" s="99">
        <v>0.752</v>
      </c>
      <c r="J69" s="247">
        <v>0.94799999999999995</v>
      </c>
      <c r="K69" s="248">
        <v>0.80800000000000005</v>
      </c>
      <c r="L69" s="249">
        <v>0.61599999999999999</v>
      </c>
      <c r="M69" s="250">
        <v>0.626</v>
      </c>
      <c r="N69" s="251">
        <v>0.80700000000000005</v>
      </c>
      <c r="O69" s="252">
        <v>0.39400000000000002</v>
      </c>
      <c r="P69" s="253">
        <v>0.40600000000000003</v>
      </c>
      <c r="Q69" s="254">
        <v>0.36599999999999999</v>
      </c>
      <c r="R69" s="279">
        <v>0.33200000000000002</v>
      </c>
      <c r="T69" s="265">
        <f t="shared" si="21"/>
        <v>45706</v>
      </c>
      <c r="U69" s="115">
        <v>4.2430000000000002E-2</v>
      </c>
      <c r="V69" s="115">
        <v>4.2819999999999997E-2</v>
      </c>
      <c r="W69" s="115">
        <v>4.299E-2</v>
      </c>
      <c r="X69" s="115">
        <v>4.3679999999999997E-2</v>
      </c>
    </row>
    <row r="70" spans="1:24" ht="15" hidden="1" customHeight="1" x14ac:dyDescent="0.3">
      <c r="A70" s="265">
        <v>45712</v>
      </c>
      <c r="B70" s="243">
        <v>0.1371</v>
      </c>
      <c r="C70" s="244">
        <v>0.13070000000000001</v>
      </c>
      <c r="D70" s="245">
        <v>0.20860000000000001</v>
      </c>
      <c r="E70" s="246">
        <v>0.186</v>
      </c>
      <c r="F70" s="7">
        <v>0.1103</v>
      </c>
      <c r="H70" s="265">
        <f t="shared" ref="H70" si="22">A70</f>
        <v>45712</v>
      </c>
      <c r="I70" s="99">
        <v>0.76100000000000001</v>
      </c>
      <c r="J70" s="247">
        <v>0.94699999999999995</v>
      </c>
      <c r="K70" s="248">
        <v>0.81100000000000005</v>
      </c>
      <c r="L70" s="249">
        <v>0.624</v>
      </c>
      <c r="M70" s="250">
        <v>0.628</v>
      </c>
      <c r="N70" s="251">
        <v>0.81200000000000006</v>
      </c>
      <c r="O70" s="252">
        <v>0.377</v>
      </c>
      <c r="P70" s="253">
        <v>0.38500000000000001</v>
      </c>
      <c r="Q70" s="254">
        <v>0.35699999999999998</v>
      </c>
      <c r="R70" s="279">
        <v>0.313</v>
      </c>
      <c r="T70" s="265">
        <f t="shared" ref="T70" si="23">H70</f>
        <v>45712</v>
      </c>
      <c r="U70" s="115">
        <v>4.1799999999999997E-2</v>
      </c>
      <c r="V70" s="115">
        <v>4.2200000000000001E-2</v>
      </c>
      <c r="W70" s="115">
        <v>4.2200000000000001E-2</v>
      </c>
      <c r="X70" s="115">
        <v>4.2880000000000001E-2</v>
      </c>
    </row>
    <row r="71" spans="1:24" ht="15" hidden="1" customHeight="1" x14ac:dyDescent="0.3">
      <c r="A71" s="265">
        <v>45719</v>
      </c>
      <c r="B71" s="243">
        <v>0.16039999999999999</v>
      </c>
      <c r="C71" s="244">
        <v>0.14630000000000001</v>
      </c>
      <c r="D71" s="245">
        <v>0.2273</v>
      </c>
      <c r="E71" s="246">
        <v>0.21690000000000001</v>
      </c>
      <c r="F71" s="7">
        <v>0.1116</v>
      </c>
      <c r="H71" s="265">
        <f t="shared" ref="H71" si="24">A71</f>
        <v>45719</v>
      </c>
      <c r="I71" s="99">
        <v>0.76500000000000001</v>
      </c>
      <c r="J71" s="247">
        <v>0.94799999999999995</v>
      </c>
      <c r="K71" s="248">
        <v>0.80900000000000005</v>
      </c>
      <c r="L71" s="249">
        <v>0.628</v>
      </c>
      <c r="M71" s="250">
        <v>0.625</v>
      </c>
      <c r="N71" s="251">
        <v>0.81399999999999995</v>
      </c>
      <c r="O71" s="252">
        <v>0.38100000000000001</v>
      </c>
      <c r="P71" s="253">
        <v>0.38400000000000001</v>
      </c>
      <c r="Q71" s="254">
        <v>0.36</v>
      </c>
      <c r="R71" s="279">
        <v>0.30499999999999999</v>
      </c>
      <c r="T71" s="265">
        <f t="shared" ref="T71" si="25">H71</f>
        <v>45719</v>
      </c>
      <c r="U71" s="115">
        <v>4.122E-2</v>
      </c>
      <c r="V71" s="115">
        <v>4.0320000000000002E-2</v>
      </c>
      <c r="W71" s="115">
        <v>4.0129999999999999E-2</v>
      </c>
      <c r="X71" s="115">
        <v>4.0559999999999999E-2</v>
      </c>
    </row>
    <row r="72" spans="1:24" ht="15" hidden="1" customHeight="1" x14ac:dyDescent="0.3">
      <c r="A72" s="265">
        <v>45726</v>
      </c>
      <c r="B72" s="243">
        <v>0.2238</v>
      </c>
      <c r="C72" s="244">
        <v>0.16950000000000001</v>
      </c>
      <c r="D72" s="245">
        <v>0.26429999999999998</v>
      </c>
      <c r="E72" s="246">
        <v>0.2442</v>
      </c>
      <c r="F72" s="7">
        <v>0.13519999999999999</v>
      </c>
      <c r="H72" s="265">
        <f t="shared" ref="H72" si="26">A72</f>
        <v>45726</v>
      </c>
      <c r="I72" s="99">
        <v>0.77200000000000002</v>
      </c>
      <c r="J72" s="247">
        <v>0.94699999999999995</v>
      </c>
      <c r="K72" s="248">
        <v>0.81699999999999995</v>
      </c>
      <c r="L72" s="249">
        <v>0.63800000000000001</v>
      </c>
      <c r="M72" s="250">
        <v>0.63200000000000001</v>
      </c>
      <c r="N72" s="251">
        <v>0.81799999999999995</v>
      </c>
      <c r="O72" s="252">
        <v>0.34599999999999997</v>
      </c>
      <c r="P72" s="253">
        <v>0.36199999999999999</v>
      </c>
      <c r="Q72" s="254">
        <v>0.33600000000000002</v>
      </c>
      <c r="R72" s="279">
        <v>0.30399999999999999</v>
      </c>
      <c r="T72" s="265">
        <f t="shared" ref="T72" si="27">H72</f>
        <v>45726</v>
      </c>
      <c r="U72" s="115">
        <v>4.018E-2</v>
      </c>
      <c r="V72" s="115">
        <v>3.9449999999999999E-2</v>
      </c>
      <c r="W72" s="115">
        <v>3.9469999999999998E-2</v>
      </c>
      <c r="X72" s="115">
        <v>4.0149999999999998E-2</v>
      </c>
    </row>
    <row r="73" spans="1:24" hidden="1" x14ac:dyDescent="0.3">
      <c r="A73" s="265">
        <v>45733</v>
      </c>
      <c r="B73" s="243">
        <v>0.19869999999999999</v>
      </c>
      <c r="C73" s="244">
        <v>0.17019999999999999</v>
      </c>
      <c r="D73" s="245">
        <v>0.252</v>
      </c>
      <c r="E73" s="246">
        <v>0.24</v>
      </c>
      <c r="F73" s="7">
        <v>0.14419999999999999</v>
      </c>
      <c r="H73" s="265">
        <f t="shared" ref="H73" si="28">A73</f>
        <v>45733</v>
      </c>
      <c r="I73" s="99">
        <v>0.78600000000000003</v>
      </c>
      <c r="J73" s="247">
        <v>0.94899999999999995</v>
      </c>
      <c r="K73" s="248">
        <v>0.82699999999999996</v>
      </c>
      <c r="L73" s="249">
        <v>0.66100000000000003</v>
      </c>
      <c r="M73" s="250">
        <v>0.65</v>
      </c>
      <c r="N73" s="251">
        <v>0.82499999999999996</v>
      </c>
      <c r="O73" s="252">
        <v>0.36799999999999999</v>
      </c>
      <c r="P73" s="253">
        <v>0.38700000000000001</v>
      </c>
      <c r="Q73" s="254">
        <v>0.35299999999999998</v>
      </c>
      <c r="R73" s="279">
        <v>0.33100000000000002</v>
      </c>
      <c r="T73" s="265">
        <f t="shared" ref="T73" si="29">H73</f>
        <v>45733</v>
      </c>
      <c r="U73" s="115">
        <v>4.1200000000000001E-2</v>
      </c>
      <c r="V73" s="115">
        <v>4.0529999999999997E-2</v>
      </c>
      <c r="W73" s="115">
        <v>4.0320000000000002E-2</v>
      </c>
      <c r="X73" s="115">
        <v>4.1000000000000002E-2</v>
      </c>
    </row>
    <row r="74" spans="1:24" hidden="1" x14ac:dyDescent="0.3">
      <c r="A74" s="265">
        <v>45740</v>
      </c>
      <c r="B74" s="243">
        <v>0.1651</v>
      </c>
      <c r="C74" s="244">
        <v>0.14699999999999999</v>
      </c>
      <c r="D74" s="245">
        <v>0.22450000000000001</v>
      </c>
      <c r="E74" s="246">
        <v>0.20979999999999999</v>
      </c>
      <c r="F74" s="7">
        <v>0.13089999999999999</v>
      </c>
      <c r="H74" s="265">
        <f t="shared" ref="H74" si="30">A74</f>
        <v>45740</v>
      </c>
      <c r="I74" s="99">
        <v>0.79100000000000004</v>
      </c>
      <c r="J74" s="247">
        <v>0.95</v>
      </c>
      <c r="K74" s="248">
        <v>0.82899999999999996</v>
      </c>
      <c r="L74" s="249">
        <v>0.66600000000000004</v>
      </c>
      <c r="M74" s="250">
        <v>0.65400000000000003</v>
      </c>
      <c r="N74" s="251">
        <v>0.82599999999999996</v>
      </c>
      <c r="O74" s="252">
        <v>0.36499999999999999</v>
      </c>
      <c r="P74" s="253">
        <v>0.38400000000000001</v>
      </c>
      <c r="Q74" s="254">
        <v>0.35299999999999998</v>
      </c>
      <c r="R74" s="279">
        <v>0.32700000000000001</v>
      </c>
      <c r="T74" s="265">
        <f t="shared" ref="T74" si="31">H74</f>
        <v>45740</v>
      </c>
      <c r="U74" s="115">
        <v>4.0710000000000003E-2</v>
      </c>
      <c r="V74" s="115">
        <v>3.9940000000000003E-2</v>
      </c>
      <c r="W74" s="115">
        <v>3.9730000000000001E-2</v>
      </c>
      <c r="X74" s="115">
        <v>4.0559999999999999E-2</v>
      </c>
    </row>
    <row r="75" spans="1:24" hidden="1" x14ac:dyDescent="0.3">
      <c r="A75" s="265">
        <v>45747</v>
      </c>
      <c r="B75" s="243">
        <v>0.19470000000000001</v>
      </c>
      <c r="C75" s="244">
        <v>0.1585</v>
      </c>
      <c r="D75" s="245">
        <v>0.2288</v>
      </c>
      <c r="E75" s="246">
        <v>0.2301</v>
      </c>
      <c r="F75" s="7">
        <v>0.18029999999999999</v>
      </c>
      <c r="H75" s="265">
        <f t="shared" ref="H75" si="32">A75</f>
        <v>45747</v>
      </c>
      <c r="I75" s="99">
        <v>0.79400000000000004</v>
      </c>
      <c r="J75" s="247">
        <v>0.95199999999999996</v>
      </c>
      <c r="K75" s="248">
        <v>0.83099999999999996</v>
      </c>
      <c r="L75" s="249">
        <v>0.67400000000000004</v>
      </c>
      <c r="M75" s="250">
        <v>0.66</v>
      </c>
      <c r="N75" s="251">
        <v>0.82699999999999996</v>
      </c>
      <c r="O75" s="252">
        <v>0.36199999999999999</v>
      </c>
      <c r="P75" s="253">
        <v>0.379</v>
      </c>
      <c r="Q75" s="254">
        <v>0.34699999999999998</v>
      </c>
      <c r="R75" s="279">
        <v>0.32200000000000001</v>
      </c>
      <c r="T75" s="265">
        <f t="shared" ref="T75:T80" si="33">H75</f>
        <v>45747</v>
      </c>
      <c r="U75" s="115">
        <v>3.9960000000000002E-2</v>
      </c>
      <c r="V75" s="115">
        <v>3.8629999999999998E-2</v>
      </c>
      <c r="W75" s="115">
        <v>3.8490000000000003E-2</v>
      </c>
      <c r="X75" s="115">
        <v>3.9289999999999999E-2</v>
      </c>
    </row>
    <row r="76" spans="1:24" hidden="1" x14ac:dyDescent="0.3">
      <c r="A76" s="265">
        <v>45754</v>
      </c>
      <c r="B76" s="243">
        <v>0.41589999999999999</v>
      </c>
      <c r="C76" s="244">
        <v>0.30730000000000002</v>
      </c>
      <c r="D76" s="245">
        <v>0.4178</v>
      </c>
      <c r="E76" s="246">
        <v>0.39429999999999998</v>
      </c>
      <c r="F76" s="7">
        <v>0.36930000000000002</v>
      </c>
      <c r="H76" s="265">
        <f t="shared" ref="H76" si="34">A76</f>
        <v>45754</v>
      </c>
      <c r="I76" s="99">
        <v>0.81499999999999995</v>
      </c>
      <c r="J76" s="247">
        <v>0.95399999999999996</v>
      </c>
      <c r="K76" s="248">
        <v>0.87</v>
      </c>
      <c r="L76" s="249">
        <v>0.71499999999999997</v>
      </c>
      <c r="M76" s="250">
        <v>0.71699999999999997</v>
      </c>
      <c r="N76" s="251">
        <v>0.83499999999999996</v>
      </c>
      <c r="O76" s="252">
        <v>0.47</v>
      </c>
      <c r="P76" s="253">
        <v>0.5</v>
      </c>
      <c r="Q76" s="254">
        <v>0.432</v>
      </c>
      <c r="R76" s="279">
        <v>0.44400000000000001</v>
      </c>
      <c r="T76" s="265">
        <f t="shared" si="33"/>
        <v>45754</v>
      </c>
      <c r="U76" s="115">
        <v>3.8379999999999997E-2</v>
      </c>
      <c r="V76" s="115">
        <v>3.6700000000000003E-2</v>
      </c>
      <c r="W76" s="115">
        <v>3.6600000000000001E-2</v>
      </c>
      <c r="X76" s="115">
        <v>3.7429999999999998E-2</v>
      </c>
    </row>
    <row r="77" spans="1:24" hidden="1" x14ac:dyDescent="0.3">
      <c r="A77" s="265">
        <v>45761</v>
      </c>
      <c r="B77" s="243">
        <v>0.28370000000000001</v>
      </c>
      <c r="C77" s="244">
        <v>0.27860000000000001</v>
      </c>
      <c r="D77" s="245">
        <v>0.38500000000000001</v>
      </c>
      <c r="E77" s="246">
        <v>0.35560000000000003</v>
      </c>
      <c r="F77" s="7">
        <v>0.24979999999999999</v>
      </c>
      <c r="H77" s="265">
        <f t="shared" ref="H77" si="35">A77</f>
        <v>45761</v>
      </c>
      <c r="I77" s="99">
        <v>0.84499999999999997</v>
      </c>
      <c r="J77" s="247">
        <v>0.96599999999999997</v>
      </c>
      <c r="K77" s="248">
        <v>0.90500000000000003</v>
      </c>
      <c r="L77" s="249">
        <v>0.76900000000000002</v>
      </c>
      <c r="M77" s="250">
        <v>0.79100000000000004</v>
      </c>
      <c r="N77" s="251">
        <v>0.86099999999999999</v>
      </c>
      <c r="O77" s="252">
        <v>0.218</v>
      </c>
      <c r="P77" s="253">
        <v>0.22900000000000001</v>
      </c>
      <c r="Q77" s="254">
        <v>0.23699999999999999</v>
      </c>
      <c r="R77" s="279">
        <v>0.222</v>
      </c>
      <c r="T77" s="265">
        <f t="shared" si="33"/>
        <v>45761</v>
      </c>
      <c r="U77" s="115">
        <v>4.0579999999999998E-2</v>
      </c>
      <c r="V77" s="115">
        <v>3.9269999999999999E-2</v>
      </c>
      <c r="W77" s="115">
        <v>3.9620000000000002E-2</v>
      </c>
      <c r="X77" s="115">
        <v>4.1000000000000002E-2</v>
      </c>
    </row>
    <row r="78" spans="1:24" hidden="1" x14ac:dyDescent="0.3">
      <c r="A78" s="265">
        <v>45768</v>
      </c>
      <c r="B78" s="243">
        <v>0.28320000000000001</v>
      </c>
      <c r="C78" s="244">
        <v>0.22509999999999999</v>
      </c>
      <c r="D78" s="245">
        <v>0.30380000000000001</v>
      </c>
      <c r="E78" s="246">
        <v>0.30180000000000001</v>
      </c>
      <c r="F78" s="7">
        <v>0.2104</v>
      </c>
      <c r="H78" s="265">
        <f t="shared" ref="H78" si="36">A78</f>
        <v>45768</v>
      </c>
      <c r="I78" s="99">
        <v>0.84399999999999997</v>
      </c>
      <c r="J78" s="247">
        <v>0.96699999999999997</v>
      </c>
      <c r="K78" s="248">
        <v>0.90600000000000003</v>
      </c>
      <c r="L78" s="249">
        <v>0.77</v>
      </c>
      <c r="M78" s="250">
        <v>0.79700000000000004</v>
      </c>
      <c r="N78" s="251">
        <v>0.85399999999999998</v>
      </c>
      <c r="O78" s="252">
        <v>0.221</v>
      </c>
      <c r="P78" s="253">
        <v>0.23200000000000001</v>
      </c>
      <c r="Q78" s="254">
        <v>0.24199999999999999</v>
      </c>
      <c r="R78" s="279">
        <v>0.22900000000000001</v>
      </c>
      <c r="T78" s="265">
        <f t="shared" si="33"/>
        <v>45768</v>
      </c>
      <c r="U78" s="115">
        <v>3.9710000000000002E-2</v>
      </c>
      <c r="V78" s="115">
        <v>3.7749999999999999E-2</v>
      </c>
      <c r="W78" s="115">
        <v>3.789E-2</v>
      </c>
      <c r="X78" s="115">
        <v>3.9570000000000001E-2</v>
      </c>
    </row>
    <row r="79" spans="1:24" hidden="1" x14ac:dyDescent="0.3">
      <c r="A79" s="265">
        <v>45775</v>
      </c>
      <c r="B79" s="243">
        <v>0.21959999999999999</v>
      </c>
      <c r="C79" s="244">
        <v>0.19439999999999999</v>
      </c>
      <c r="D79" s="245">
        <v>0.26379999999999998</v>
      </c>
      <c r="E79" s="246">
        <v>0.2535</v>
      </c>
      <c r="F79" s="7">
        <v>0.1762</v>
      </c>
      <c r="H79" s="265">
        <f t="shared" ref="H79" si="37">A79</f>
        <v>45775</v>
      </c>
      <c r="I79" s="99">
        <v>0.84699999999999998</v>
      </c>
      <c r="J79" s="247">
        <v>0.96799999999999997</v>
      </c>
      <c r="K79" s="248">
        <v>0.90900000000000003</v>
      </c>
      <c r="L79" s="249">
        <v>0.77500000000000002</v>
      </c>
      <c r="M79" s="250">
        <v>0.80300000000000005</v>
      </c>
      <c r="N79" s="251">
        <v>0.85699999999999998</v>
      </c>
      <c r="O79" s="252">
        <v>0.22500000000000001</v>
      </c>
      <c r="P79" s="253">
        <v>0.23499999999999999</v>
      </c>
      <c r="Q79" s="254">
        <v>0.24</v>
      </c>
      <c r="R79" s="279">
        <v>0.22900000000000001</v>
      </c>
      <c r="T79" s="265">
        <f t="shared" si="33"/>
        <v>45775</v>
      </c>
      <c r="U79" s="115">
        <v>3.9710000000000002E-2</v>
      </c>
      <c r="V79" s="115">
        <v>3.7679999999999998E-2</v>
      </c>
      <c r="W79" s="115">
        <v>3.7690000000000001E-2</v>
      </c>
      <c r="X79" s="115">
        <v>3.9100000000000003E-2</v>
      </c>
    </row>
    <row r="80" spans="1:24" hidden="1" x14ac:dyDescent="0.3">
      <c r="A80" s="265">
        <v>45782</v>
      </c>
      <c r="B80" s="243">
        <v>0.2046</v>
      </c>
      <c r="C80" s="244">
        <v>0.1648</v>
      </c>
      <c r="D80" s="245">
        <v>0.2402</v>
      </c>
      <c r="E80" s="246">
        <v>0.22289999999999999</v>
      </c>
      <c r="F80" s="7">
        <v>0.1643</v>
      </c>
      <c r="H80" s="265">
        <f t="shared" ref="H80" si="38">A80</f>
        <v>45782</v>
      </c>
      <c r="I80" s="99">
        <v>0.84699999999999998</v>
      </c>
      <c r="J80" s="247">
        <v>0.96799999999999997</v>
      </c>
      <c r="K80" s="248">
        <v>0.90800000000000003</v>
      </c>
      <c r="L80" s="249">
        <v>0.77400000000000002</v>
      </c>
      <c r="M80" s="250">
        <v>0.80100000000000005</v>
      </c>
      <c r="N80" s="251">
        <v>0.85599999999999998</v>
      </c>
      <c r="O80" s="252">
        <v>0.22700000000000001</v>
      </c>
      <c r="P80" s="253">
        <v>0.23799999999999999</v>
      </c>
      <c r="Q80" s="254">
        <v>0.248</v>
      </c>
      <c r="R80" s="279">
        <v>0.23300000000000001</v>
      </c>
      <c r="T80" s="265">
        <f t="shared" si="33"/>
        <v>45782</v>
      </c>
      <c r="U80" s="115">
        <v>4.0340000000000001E-2</v>
      </c>
      <c r="V80" s="115">
        <v>3.8609999999999998E-2</v>
      </c>
      <c r="W80" s="115">
        <v>3.841E-2</v>
      </c>
      <c r="X80" s="115">
        <v>3.9600000000000003E-2</v>
      </c>
    </row>
    <row r="81" spans="1:24" hidden="1" x14ac:dyDescent="0.3">
      <c r="A81" s="265">
        <v>45789</v>
      </c>
      <c r="B81" s="243">
        <v>0.1714</v>
      </c>
      <c r="C81" s="244">
        <v>0.16520000000000001</v>
      </c>
      <c r="D81" s="245">
        <v>0.24279999999999999</v>
      </c>
      <c r="E81" s="246">
        <v>0.22689999999999999</v>
      </c>
      <c r="F81" s="7">
        <v>0.15809999999999999</v>
      </c>
      <c r="H81" s="265">
        <f t="shared" ref="H81" si="39">A81</f>
        <v>45789</v>
      </c>
      <c r="I81" s="99">
        <v>0.84699999999999998</v>
      </c>
      <c r="J81" s="247">
        <v>0.96799999999999997</v>
      </c>
      <c r="K81" s="248">
        <v>0.90900000000000003</v>
      </c>
      <c r="L81" s="249">
        <v>0.77500000000000002</v>
      </c>
      <c r="M81" s="250">
        <v>0.80200000000000005</v>
      </c>
      <c r="N81" s="251">
        <v>0.85699999999999998</v>
      </c>
      <c r="O81" s="252">
        <v>0.22800000000000001</v>
      </c>
      <c r="P81" s="253">
        <v>0.23699999999999999</v>
      </c>
      <c r="Q81" s="254">
        <v>0.252</v>
      </c>
      <c r="R81" s="279">
        <v>0.23200000000000001</v>
      </c>
      <c r="T81" s="265">
        <f t="shared" ref="T81" si="40">H81</f>
        <v>45789</v>
      </c>
      <c r="U81" s="115">
        <v>4.1329999999999999E-2</v>
      </c>
      <c r="V81" s="115">
        <v>4.0079999999999998E-2</v>
      </c>
      <c r="W81" s="115">
        <v>3.9969999999999999E-2</v>
      </c>
      <c r="X81" s="115">
        <v>4.113E-2</v>
      </c>
    </row>
    <row r="82" spans="1:24" hidden="1" x14ac:dyDescent="0.3">
      <c r="A82" s="265">
        <v>45796</v>
      </c>
      <c r="B82" s="243">
        <v>0.16350000000000001</v>
      </c>
      <c r="C82" s="244">
        <v>0.12620000000000001</v>
      </c>
      <c r="D82" s="245">
        <v>0.18709999999999999</v>
      </c>
      <c r="E82" s="246">
        <v>0.18360000000000001</v>
      </c>
      <c r="F82" s="7">
        <v>0.1502</v>
      </c>
      <c r="H82" s="265">
        <f t="shared" ref="H82" si="41">A82</f>
        <v>45796</v>
      </c>
      <c r="I82" s="99">
        <v>0.85</v>
      </c>
      <c r="J82" s="247">
        <v>0.96799999999999997</v>
      </c>
      <c r="K82" s="248">
        <v>0.90900000000000003</v>
      </c>
      <c r="L82" s="249">
        <v>0.77800000000000002</v>
      </c>
      <c r="M82" s="250">
        <v>0.80100000000000005</v>
      </c>
      <c r="N82" s="251">
        <v>0.85899999999999999</v>
      </c>
      <c r="O82" s="252">
        <v>0.23799999999999999</v>
      </c>
      <c r="P82" s="253">
        <v>0.248</v>
      </c>
      <c r="Q82" s="254">
        <v>0.26100000000000001</v>
      </c>
      <c r="R82" s="279">
        <v>0.24099999999999999</v>
      </c>
      <c r="T82" s="265">
        <f t="shared" ref="T82" si="42">H82</f>
        <v>45796</v>
      </c>
      <c r="U82" s="115">
        <v>4.1410000000000002E-2</v>
      </c>
      <c r="V82" s="115">
        <v>4.0250000000000001E-2</v>
      </c>
      <c r="W82" s="115">
        <v>4.0129999999999999E-2</v>
      </c>
      <c r="X82" s="115">
        <v>4.1430000000000002E-2</v>
      </c>
    </row>
    <row r="83" spans="1:24" hidden="1" x14ac:dyDescent="0.3">
      <c r="A83" s="265">
        <v>45804</v>
      </c>
      <c r="B83" s="243">
        <v>0.16919999999999999</v>
      </c>
      <c r="C83" s="244">
        <v>0.1656</v>
      </c>
      <c r="D83" s="245">
        <v>0.24179999999999999</v>
      </c>
      <c r="E83" s="246">
        <v>0.22289999999999999</v>
      </c>
      <c r="F83" s="7">
        <v>0.15670000000000001</v>
      </c>
      <c r="H83" s="265">
        <f t="shared" ref="H83:H84" si="43">A83</f>
        <v>45804</v>
      </c>
      <c r="I83" s="99">
        <v>0.85</v>
      </c>
      <c r="J83" s="247">
        <v>0.96799999999999997</v>
      </c>
      <c r="K83" s="248">
        <v>0.91200000000000003</v>
      </c>
      <c r="L83" s="249">
        <v>0.77800000000000002</v>
      </c>
      <c r="M83" s="250">
        <v>0.80600000000000005</v>
      </c>
      <c r="N83" s="251">
        <v>0.86099999999999999</v>
      </c>
      <c r="O83" s="252">
        <v>0.24</v>
      </c>
      <c r="P83" s="253">
        <v>0.25</v>
      </c>
      <c r="Q83" s="254">
        <v>0.26</v>
      </c>
      <c r="R83" s="279">
        <v>0.24399999999999999</v>
      </c>
      <c r="T83" s="265">
        <f t="shared" ref="T83:T84" si="44">H83</f>
        <v>45804</v>
      </c>
      <c r="U83" s="115">
        <v>4.1509999999999998E-2</v>
      </c>
      <c r="V83" s="115">
        <v>3.9809999999999998E-2</v>
      </c>
      <c r="W83" s="115">
        <v>3.9379999999999998E-2</v>
      </c>
      <c r="X83" s="115">
        <v>4.0509999999999997E-2</v>
      </c>
    </row>
    <row r="84" spans="1:24" hidden="1" x14ac:dyDescent="0.3">
      <c r="A84" s="265">
        <v>45810</v>
      </c>
      <c r="B84" s="243">
        <v>0.1633</v>
      </c>
      <c r="C84" s="244">
        <v>0.14369999999999999</v>
      </c>
      <c r="D84" s="245">
        <v>0.20549999999999999</v>
      </c>
      <c r="E84" s="246">
        <v>0.19109999999999999</v>
      </c>
      <c r="F84" s="7">
        <v>0.16650000000000001</v>
      </c>
      <c r="H84" s="265">
        <f t="shared" si="43"/>
        <v>45810</v>
      </c>
      <c r="I84" s="99">
        <v>0.85399999999999998</v>
      </c>
      <c r="J84" s="247">
        <v>0.96899999999999997</v>
      </c>
      <c r="K84" s="248">
        <v>0.91400000000000003</v>
      </c>
      <c r="L84" s="249">
        <v>0.78300000000000003</v>
      </c>
      <c r="M84" s="250">
        <v>0.81100000000000005</v>
      </c>
      <c r="N84" s="251">
        <v>0.86699999999999999</v>
      </c>
      <c r="O84" s="252">
        <v>0.24299999999999999</v>
      </c>
      <c r="P84" s="253">
        <v>0.253</v>
      </c>
      <c r="Q84" s="254">
        <v>0.26100000000000001</v>
      </c>
      <c r="R84" s="279">
        <v>0.247</v>
      </c>
      <c r="T84" s="265">
        <f t="shared" si="44"/>
        <v>45810</v>
      </c>
      <c r="U84" s="115">
        <v>4.1090000000000002E-2</v>
      </c>
      <c r="V84" s="115">
        <v>3.9280000000000002E-2</v>
      </c>
      <c r="W84" s="115">
        <v>3.8920000000000003E-2</v>
      </c>
      <c r="X84" s="115">
        <v>3.9960000000000002E-2</v>
      </c>
    </row>
    <row r="85" spans="1:24" x14ac:dyDescent="0.3">
      <c r="A85" s="265">
        <v>45817</v>
      </c>
      <c r="B85" s="243">
        <v>0.14360000000000001</v>
      </c>
      <c r="C85" s="244">
        <v>0.1283</v>
      </c>
      <c r="D85" s="245">
        <v>0.19980000000000001</v>
      </c>
      <c r="E85" s="246">
        <v>0.1704</v>
      </c>
      <c r="F85" s="7">
        <v>0.14599999999999999</v>
      </c>
      <c r="H85" s="265">
        <f t="shared" ref="H85" si="45">A85</f>
        <v>45817</v>
      </c>
      <c r="I85" s="99">
        <v>0.85599999999999998</v>
      </c>
      <c r="J85" s="247">
        <v>0.96899999999999997</v>
      </c>
      <c r="K85" s="248">
        <v>0.91500000000000004</v>
      </c>
      <c r="L85" s="249">
        <v>0.78500000000000003</v>
      </c>
      <c r="M85" s="250">
        <v>0.81299999999999994</v>
      </c>
      <c r="N85" s="251">
        <v>0.872</v>
      </c>
      <c r="O85" s="252">
        <v>0.23899999999999999</v>
      </c>
      <c r="P85" s="253">
        <v>0.25</v>
      </c>
      <c r="Q85" s="254">
        <v>0.25600000000000001</v>
      </c>
      <c r="R85" s="279">
        <v>0.249</v>
      </c>
      <c r="T85" s="265">
        <f t="shared" ref="T85" si="46">H85</f>
        <v>45817</v>
      </c>
      <c r="U85" s="115">
        <v>4.1660000000000003E-2</v>
      </c>
      <c r="V85" s="115">
        <v>4.0259999999999997E-2</v>
      </c>
      <c r="W85" s="115">
        <v>4.0099999999999997E-2</v>
      </c>
      <c r="X85" s="115">
        <v>4.1149999999999999E-2</v>
      </c>
    </row>
    <row r="86" spans="1:24" x14ac:dyDescent="0.3">
      <c r="A86" s="265">
        <v>45824</v>
      </c>
      <c r="B86" s="243">
        <v>0.15570000000000001</v>
      </c>
      <c r="C86" s="244">
        <v>0.1578</v>
      </c>
      <c r="D86" s="245">
        <v>0.22620000000000001</v>
      </c>
      <c r="E86" s="246">
        <v>0.1898</v>
      </c>
      <c r="F86" s="7">
        <v>0.16600000000000001</v>
      </c>
      <c r="H86" s="265">
        <f t="shared" ref="H86" si="47">A86</f>
        <v>45824</v>
      </c>
      <c r="I86" s="99">
        <v>0.85799999999999998</v>
      </c>
      <c r="J86" s="247">
        <v>0.97</v>
      </c>
      <c r="K86" s="248">
        <v>0.91600000000000004</v>
      </c>
      <c r="L86" s="249">
        <v>0.78900000000000003</v>
      </c>
      <c r="M86" s="250">
        <v>0.81599999999999995</v>
      </c>
      <c r="N86" s="251">
        <v>0.875</v>
      </c>
      <c r="O86" s="252">
        <v>0.249</v>
      </c>
      <c r="P86" s="253">
        <v>0.25600000000000001</v>
      </c>
      <c r="Q86" s="254">
        <v>0.249</v>
      </c>
      <c r="R86" s="279">
        <v>0.25600000000000001</v>
      </c>
      <c r="T86" s="265">
        <f t="shared" ref="T86" si="48">H86</f>
        <v>45824</v>
      </c>
      <c r="U86" s="115">
        <v>4.1000000000000002E-2</v>
      </c>
      <c r="V86" s="115">
        <v>3.9579999999999997E-2</v>
      </c>
      <c r="W86" s="115">
        <v>3.9170000000000003E-2</v>
      </c>
      <c r="X86" s="115">
        <v>4.0210000000000003E-2</v>
      </c>
    </row>
    <row r="87" spans="1:24" x14ac:dyDescent="0.3">
      <c r="A87" s="265">
        <v>45831</v>
      </c>
      <c r="B87" s="243">
        <v>0.1666</v>
      </c>
      <c r="C87" s="244">
        <v>0.15129999999999999</v>
      </c>
      <c r="D87" s="245">
        <v>0.22289999999999999</v>
      </c>
      <c r="E87" s="246">
        <v>0.19220000000000001</v>
      </c>
      <c r="F87" s="7">
        <v>0.18590000000000001</v>
      </c>
      <c r="H87" s="265">
        <f t="shared" ref="H87" si="49">A87</f>
        <v>45831</v>
      </c>
      <c r="I87" s="99">
        <v>0.85899999999999999</v>
      </c>
      <c r="J87" s="247">
        <v>0.97</v>
      </c>
      <c r="K87" s="248">
        <v>0.91800000000000004</v>
      </c>
      <c r="L87" s="249">
        <v>0.79</v>
      </c>
      <c r="M87" s="250">
        <v>0.81899999999999995</v>
      </c>
      <c r="N87" s="251">
        <v>0.877</v>
      </c>
      <c r="O87" s="252">
        <v>0.252</v>
      </c>
      <c r="P87" s="253">
        <v>0.25900000000000001</v>
      </c>
      <c r="Q87" s="254">
        <v>0.252</v>
      </c>
      <c r="R87" s="279">
        <v>0.25800000000000001</v>
      </c>
      <c r="T87" s="265">
        <f t="shared" ref="T87" si="50">H87</f>
        <v>45831</v>
      </c>
      <c r="U87" s="115">
        <v>4.0739999999999998E-2</v>
      </c>
      <c r="V87" s="115">
        <v>3.8890000000000001E-2</v>
      </c>
      <c r="W87" s="115">
        <v>3.8339999999999999E-2</v>
      </c>
      <c r="X87" s="115">
        <v>3.9289999999999999E-2</v>
      </c>
    </row>
    <row r="88" spans="1:24" x14ac:dyDescent="0.3">
      <c r="A88" s="265">
        <v>45838</v>
      </c>
      <c r="B88" s="243">
        <v>0.1368</v>
      </c>
      <c r="C88" s="244">
        <v>0.1265</v>
      </c>
      <c r="D88" s="245">
        <v>0.20169999999999999</v>
      </c>
      <c r="E88" s="246">
        <v>0.1646</v>
      </c>
      <c r="F88" s="7">
        <v>0.1482</v>
      </c>
      <c r="H88" s="265">
        <f t="shared" ref="H88" si="51">A88</f>
        <v>45838</v>
      </c>
      <c r="I88" s="99">
        <v>0.86099999999999999</v>
      </c>
      <c r="J88" s="247">
        <v>0.97099999999999997</v>
      </c>
      <c r="K88" s="248">
        <v>0.92100000000000004</v>
      </c>
      <c r="L88" s="249">
        <v>0.79500000000000004</v>
      </c>
      <c r="M88" s="250">
        <v>0.82599999999999996</v>
      </c>
      <c r="N88" s="251">
        <v>0.877</v>
      </c>
      <c r="O88" s="252">
        <v>0.25800000000000001</v>
      </c>
      <c r="P88" s="253">
        <v>0.26300000000000001</v>
      </c>
      <c r="Q88" s="254">
        <v>0.254</v>
      </c>
      <c r="R88" s="279">
        <v>0.26200000000000001</v>
      </c>
      <c r="T88" s="265">
        <f t="shared" ref="T88" si="52">H88</f>
        <v>45838</v>
      </c>
      <c r="U88" s="115">
        <v>4.002E-2</v>
      </c>
      <c r="V88" s="115">
        <v>3.7359999999999997E-2</v>
      </c>
      <c r="W88" s="115">
        <v>3.7060000000000003E-2</v>
      </c>
      <c r="X88" s="115">
        <v>3.8159999999999999E-2</v>
      </c>
    </row>
    <row r="89" spans="1:24" x14ac:dyDescent="0.3">
      <c r="A89" s="265">
        <v>45845</v>
      </c>
      <c r="B89" s="243">
        <v>0.13189999999999999</v>
      </c>
      <c r="C89" s="244">
        <v>0.1454</v>
      </c>
      <c r="D89" s="245">
        <v>0.2114</v>
      </c>
      <c r="E89" s="246">
        <v>0.17280000000000001</v>
      </c>
      <c r="F89" s="7">
        <v>0.15579999999999999</v>
      </c>
      <c r="H89" s="265">
        <f t="shared" ref="H89" si="53">A89</f>
        <v>45845</v>
      </c>
      <c r="I89" s="99">
        <v>0.86199999999999999</v>
      </c>
      <c r="J89" s="247">
        <v>0.97</v>
      </c>
      <c r="K89" s="248">
        <v>0.92</v>
      </c>
      <c r="L89" s="249">
        <v>0.79600000000000004</v>
      </c>
      <c r="M89" s="250">
        <v>0.82399999999999995</v>
      </c>
      <c r="N89" s="251">
        <v>0.877</v>
      </c>
      <c r="O89" s="252">
        <v>0.25900000000000001</v>
      </c>
      <c r="P89" s="253">
        <v>0.26300000000000001</v>
      </c>
      <c r="Q89" s="254">
        <v>0.25800000000000001</v>
      </c>
      <c r="R89" s="279">
        <v>0.26200000000000001</v>
      </c>
      <c r="T89" s="265">
        <f t="shared" ref="T89:T94" si="54">H89</f>
        <v>45845</v>
      </c>
      <c r="U89" s="115">
        <v>4.0800000000000003E-2</v>
      </c>
      <c r="V89" s="115">
        <v>3.8780000000000002E-2</v>
      </c>
      <c r="W89" s="115">
        <v>3.8420000000000003E-2</v>
      </c>
      <c r="X89" s="115">
        <v>3.943E-2</v>
      </c>
    </row>
    <row r="90" spans="1:24" x14ac:dyDescent="0.3">
      <c r="A90" s="265">
        <v>45852</v>
      </c>
      <c r="B90" s="243">
        <v>0.1444</v>
      </c>
      <c r="C90" s="244">
        <v>0.1308</v>
      </c>
      <c r="D90" s="245">
        <v>0.2145</v>
      </c>
      <c r="E90" s="246">
        <v>0.1643</v>
      </c>
      <c r="F90" s="7">
        <v>0.15490000000000001</v>
      </c>
      <c r="H90" s="265">
        <f t="shared" ref="H90" si="55">A90</f>
        <v>45852</v>
      </c>
      <c r="I90" s="99">
        <v>0.878</v>
      </c>
      <c r="J90" s="247">
        <v>0.97099999999999997</v>
      </c>
      <c r="K90" s="248">
        <v>0.92100000000000004</v>
      </c>
      <c r="L90" s="249">
        <v>0.81899999999999995</v>
      </c>
      <c r="M90" s="250">
        <v>0.82599999999999996</v>
      </c>
      <c r="N90" s="251">
        <v>0.88600000000000001</v>
      </c>
      <c r="O90" s="252">
        <v>0.26100000000000001</v>
      </c>
      <c r="P90" s="253">
        <v>0.26400000000000001</v>
      </c>
      <c r="Q90" s="254">
        <v>0.25800000000000001</v>
      </c>
      <c r="R90" s="279">
        <v>0.25900000000000001</v>
      </c>
      <c r="T90" s="265">
        <f t="shared" si="54"/>
        <v>45852</v>
      </c>
      <c r="U90" s="115">
        <v>4.0869999999999997E-2</v>
      </c>
      <c r="V90" s="115">
        <v>3.8929999999999999E-2</v>
      </c>
      <c r="W90" s="115">
        <v>3.8679999999999999E-2</v>
      </c>
      <c r="X90" s="115">
        <v>3.9829999999999997E-2</v>
      </c>
    </row>
    <row r="91" spans="1:24" x14ac:dyDescent="0.3">
      <c r="A91" s="265">
        <v>45859</v>
      </c>
      <c r="B91" s="243">
        <v>0.14560000000000001</v>
      </c>
      <c r="C91" s="244">
        <v>0.13170000000000001</v>
      </c>
      <c r="D91" s="245">
        <v>0.2198</v>
      </c>
      <c r="E91" s="246">
        <v>0.1678</v>
      </c>
      <c r="F91" s="7">
        <v>0.158</v>
      </c>
      <c r="H91" s="265">
        <f t="shared" ref="H91" si="56">A91</f>
        <v>45859</v>
      </c>
      <c r="I91" s="99">
        <v>0.88</v>
      </c>
      <c r="J91" s="247">
        <v>0.97099999999999997</v>
      </c>
      <c r="K91" s="248">
        <v>0.92200000000000004</v>
      </c>
      <c r="L91" s="249">
        <v>0.81899999999999995</v>
      </c>
      <c r="M91" s="250">
        <v>0.82599999999999996</v>
      </c>
      <c r="N91" s="251">
        <v>0.88700000000000001</v>
      </c>
      <c r="O91" s="252">
        <v>0.26300000000000001</v>
      </c>
      <c r="P91" s="253">
        <v>0.26500000000000001</v>
      </c>
      <c r="Q91" s="254">
        <v>0.25800000000000001</v>
      </c>
      <c r="R91" s="279">
        <v>0.26</v>
      </c>
      <c r="T91" s="265">
        <f t="shared" si="54"/>
        <v>45859</v>
      </c>
      <c r="U91" s="115">
        <v>4.0840000000000001E-2</v>
      </c>
      <c r="V91" s="115">
        <v>3.8710000000000001E-2</v>
      </c>
      <c r="W91" s="115">
        <v>3.8359999999999998E-2</v>
      </c>
      <c r="X91" s="115">
        <v>3.95E-2</v>
      </c>
    </row>
    <row r="92" spans="1:24" x14ac:dyDescent="0.3">
      <c r="A92" s="265">
        <v>45866</v>
      </c>
      <c r="B92" s="243">
        <v>0.1249</v>
      </c>
      <c r="C92" s="244">
        <v>0.1171</v>
      </c>
      <c r="D92" s="245">
        <v>0.20749999999999999</v>
      </c>
      <c r="E92" s="246">
        <v>0.1464</v>
      </c>
      <c r="F92" s="7">
        <v>0.14940000000000001</v>
      </c>
      <c r="H92" s="265">
        <f t="shared" ref="H92" si="57">A92</f>
        <v>45866</v>
      </c>
      <c r="I92" s="99">
        <v>0.88400000000000001</v>
      </c>
      <c r="J92" s="247">
        <v>0.97099999999999997</v>
      </c>
      <c r="K92" s="248">
        <v>0.92900000000000005</v>
      </c>
      <c r="L92" s="249">
        <v>0.82799999999999996</v>
      </c>
      <c r="M92" s="250">
        <v>0.84</v>
      </c>
      <c r="N92" s="251">
        <v>0.89100000000000001</v>
      </c>
      <c r="O92" s="252">
        <v>0.24199999999999999</v>
      </c>
      <c r="P92" s="253">
        <v>0.249</v>
      </c>
      <c r="Q92" s="254">
        <v>0.26100000000000001</v>
      </c>
      <c r="R92" s="279">
        <v>0.26</v>
      </c>
      <c r="T92" s="265">
        <f t="shared" si="54"/>
        <v>45866</v>
      </c>
      <c r="U92" s="115">
        <v>4.1169999999999998E-2</v>
      </c>
      <c r="V92" s="115">
        <v>3.9359999999999999E-2</v>
      </c>
      <c r="W92" s="115">
        <v>3.882E-2</v>
      </c>
      <c r="X92" s="115">
        <v>3.9699999999999999E-2</v>
      </c>
    </row>
    <row r="93" spans="1:24" x14ac:dyDescent="0.3">
      <c r="A93" s="265">
        <v>45873</v>
      </c>
      <c r="B93" s="243">
        <v>0.1507</v>
      </c>
      <c r="C93" s="244">
        <v>0.1492</v>
      </c>
      <c r="D93" s="245">
        <v>0.2482</v>
      </c>
      <c r="E93" s="246">
        <v>0.1915</v>
      </c>
      <c r="F93" s="7">
        <v>0.16309999999999999</v>
      </c>
      <c r="H93" s="265">
        <f t="shared" ref="H93" si="58">A93</f>
        <v>45873</v>
      </c>
      <c r="I93" s="99">
        <v>0.88700000000000001</v>
      </c>
      <c r="J93" s="247">
        <v>0.97199999999999998</v>
      </c>
      <c r="K93" s="248">
        <v>0.93200000000000005</v>
      </c>
      <c r="L93" s="249">
        <v>0.83199999999999996</v>
      </c>
      <c r="M93" s="250">
        <v>0.84599999999999997</v>
      </c>
      <c r="N93" s="251">
        <v>0.89200000000000002</v>
      </c>
      <c r="O93" s="252">
        <v>0.23100000000000001</v>
      </c>
      <c r="P93" s="253">
        <v>0.24</v>
      </c>
      <c r="Q93" s="254">
        <v>0.23799999999999999</v>
      </c>
      <c r="R93" s="279">
        <v>0.251</v>
      </c>
      <c r="T93" s="265">
        <f t="shared" si="54"/>
        <v>45873</v>
      </c>
      <c r="U93" s="115">
        <v>3.8420000000000003E-2</v>
      </c>
      <c r="V93" s="115">
        <v>3.6650000000000002E-2</v>
      </c>
      <c r="W93" s="115">
        <v>3.6389999999999999E-2</v>
      </c>
      <c r="X93" s="115">
        <v>3.7400000000000003E-2</v>
      </c>
    </row>
    <row r="94" spans="1:24" x14ac:dyDescent="0.3">
      <c r="A94" s="265">
        <v>45880</v>
      </c>
      <c r="B94" s="243">
        <v>0.1244</v>
      </c>
      <c r="C94" s="244">
        <v>0.11650000000000001</v>
      </c>
      <c r="D94" s="245">
        <v>0.21609999999999999</v>
      </c>
      <c r="E94" s="246">
        <v>0.15010000000000001</v>
      </c>
      <c r="F94" s="7">
        <v>0.14680000000000001</v>
      </c>
      <c r="H94" s="265">
        <f t="shared" ref="H94" si="59">A94</f>
        <v>45880</v>
      </c>
      <c r="I94" s="99">
        <v>0.88100000000000001</v>
      </c>
      <c r="J94" s="247">
        <v>0.97199999999999998</v>
      </c>
      <c r="K94" s="248">
        <v>0.92900000000000005</v>
      </c>
      <c r="L94" s="249">
        <v>0.82399999999999995</v>
      </c>
      <c r="M94" s="250">
        <v>0.84</v>
      </c>
      <c r="N94" s="251">
        <v>0.88800000000000001</v>
      </c>
      <c r="O94" s="252">
        <v>0.23799999999999999</v>
      </c>
      <c r="P94" s="253">
        <v>0.24299999999999999</v>
      </c>
      <c r="Q94" s="254">
        <v>0.24399999999999999</v>
      </c>
      <c r="R94" s="279">
        <v>0.252</v>
      </c>
      <c r="T94" s="265">
        <f t="shared" si="54"/>
        <v>45880</v>
      </c>
      <c r="U94" s="115">
        <v>3.9280000000000002E-2</v>
      </c>
      <c r="V94" s="115">
        <v>3.7600000000000001E-2</v>
      </c>
      <c r="W94" s="115">
        <v>3.7240000000000002E-2</v>
      </c>
      <c r="X94" s="115">
        <v>3.8210000000000001E-2</v>
      </c>
    </row>
    <row r="95" spans="1:24" x14ac:dyDescent="0.3">
      <c r="A95" s="265">
        <v>45887</v>
      </c>
      <c r="B95" s="243">
        <v>0.1231</v>
      </c>
      <c r="C95" s="244">
        <v>0.1091</v>
      </c>
      <c r="D95" s="245">
        <v>0.20680000000000001</v>
      </c>
      <c r="E95" s="246">
        <v>0.14660000000000001</v>
      </c>
      <c r="F95" s="7">
        <v>0.14180000000000001</v>
      </c>
      <c r="H95" s="265">
        <f t="shared" ref="H95" si="60">A95</f>
        <v>45887</v>
      </c>
      <c r="I95" s="99">
        <v>0.877</v>
      </c>
      <c r="J95" s="247">
        <v>0.97199999999999998</v>
      </c>
      <c r="K95" s="248">
        <v>0.92800000000000005</v>
      </c>
      <c r="L95" s="249">
        <v>0.81699999999999995</v>
      </c>
      <c r="M95" s="250">
        <v>0.83899999999999997</v>
      </c>
      <c r="N95" s="251">
        <v>0.88700000000000001</v>
      </c>
      <c r="O95" s="252">
        <v>0.22800000000000001</v>
      </c>
      <c r="P95" s="253">
        <v>0.23499999999999999</v>
      </c>
      <c r="Q95" s="254">
        <v>0.23400000000000001</v>
      </c>
      <c r="R95" s="279">
        <v>0.245</v>
      </c>
      <c r="T95" s="265">
        <f t="shared" ref="T95" si="61">H95</f>
        <v>45887</v>
      </c>
      <c r="U95" s="115">
        <v>3.9260000000000003E-2</v>
      </c>
      <c r="V95" s="115">
        <v>3.7519999999999998E-2</v>
      </c>
      <c r="W95" s="115">
        <v>3.7139999999999999E-2</v>
      </c>
      <c r="X95" s="115">
        <v>3.8330000000000003E-2</v>
      </c>
    </row>
    <row r="96" spans="1:24" x14ac:dyDescent="0.3">
      <c r="A96" s="265">
        <v>45894</v>
      </c>
      <c r="B96" s="243">
        <v>0.1212</v>
      </c>
      <c r="C96" s="244">
        <v>0.1089</v>
      </c>
      <c r="D96" s="245">
        <v>0.20780000000000001</v>
      </c>
      <c r="E96" s="246">
        <v>0.15279999999999999</v>
      </c>
      <c r="F96" s="7">
        <v>0.1278</v>
      </c>
      <c r="H96" s="265">
        <f t="shared" ref="H96" si="62">A96</f>
        <v>45894</v>
      </c>
      <c r="I96" s="99">
        <v>0.877</v>
      </c>
      <c r="J96" s="247">
        <v>0.97099999999999997</v>
      </c>
      <c r="K96" s="248">
        <v>0.92700000000000005</v>
      </c>
      <c r="L96" s="249">
        <v>0.81699999999999995</v>
      </c>
      <c r="M96" s="250">
        <v>0.83699999999999997</v>
      </c>
      <c r="N96" s="251">
        <v>0.88900000000000001</v>
      </c>
      <c r="O96" s="252">
        <v>0.223</v>
      </c>
      <c r="P96" s="253">
        <v>0.23100000000000001</v>
      </c>
      <c r="Q96" s="254">
        <v>0.22800000000000001</v>
      </c>
      <c r="R96" s="279">
        <v>0.24399999999999999</v>
      </c>
      <c r="T96" s="265">
        <f t="shared" ref="T96" si="63">H96</f>
        <v>45894</v>
      </c>
      <c r="U96" s="115">
        <v>3.9109999999999999E-2</v>
      </c>
      <c r="V96" s="115">
        <v>3.7280000000000001E-2</v>
      </c>
      <c r="W96" s="115">
        <v>3.671E-2</v>
      </c>
      <c r="X96" s="115">
        <v>3.7830000000000003E-2</v>
      </c>
    </row>
    <row r="97" spans="1:24" x14ac:dyDescent="0.3">
      <c r="A97" s="265">
        <v>45902</v>
      </c>
      <c r="B97" s="243">
        <v>0.1434</v>
      </c>
      <c r="C97" s="244">
        <v>0.1145</v>
      </c>
      <c r="D97" s="245">
        <v>0.20030000000000001</v>
      </c>
      <c r="E97" s="246">
        <v>0.1633</v>
      </c>
      <c r="F97" s="7">
        <v>0.15870000000000001</v>
      </c>
      <c r="H97" s="265">
        <f t="shared" ref="H97" si="64">A97</f>
        <v>45902</v>
      </c>
      <c r="I97" s="99">
        <v>0.876</v>
      </c>
      <c r="J97" s="247">
        <v>0.97099999999999997</v>
      </c>
      <c r="K97" s="248">
        <v>0.92700000000000005</v>
      </c>
      <c r="L97" s="249">
        <v>0.81499999999999995</v>
      </c>
      <c r="M97" s="250">
        <v>0.83699999999999997</v>
      </c>
      <c r="N97" s="251">
        <v>0.88900000000000001</v>
      </c>
      <c r="O97" s="252">
        <v>0.22500000000000001</v>
      </c>
      <c r="P97" s="253">
        <v>0.23200000000000001</v>
      </c>
      <c r="Q97" s="254">
        <v>0.22500000000000001</v>
      </c>
      <c r="R97" s="279">
        <v>0.24299999999999999</v>
      </c>
      <c r="T97" s="265">
        <f t="shared" ref="T97" si="65">H97</f>
        <v>45902</v>
      </c>
      <c r="U97" s="115">
        <v>3.8649999999999997E-2</v>
      </c>
      <c r="V97" s="115">
        <v>3.6679999999999997E-2</v>
      </c>
      <c r="W97" s="115">
        <v>3.6409999999999998E-2</v>
      </c>
      <c r="X97" s="115">
        <v>3.7650000000000003E-2</v>
      </c>
    </row>
    <row r="98" spans="1:24" x14ac:dyDescent="0.3">
      <c r="A98" s="265">
        <v>45908</v>
      </c>
      <c r="B98" s="243">
        <v>0.1229</v>
      </c>
      <c r="C98" s="244">
        <v>0.11509999999999999</v>
      </c>
      <c r="D98" s="245">
        <v>0.2016</v>
      </c>
      <c r="E98" s="246">
        <v>0.15790000000000001</v>
      </c>
      <c r="F98" s="7">
        <v>0.14099999999999999</v>
      </c>
      <c r="H98" s="265">
        <f t="shared" ref="H98" si="66">A98</f>
        <v>45908</v>
      </c>
      <c r="I98" s="99">
        <v>0.874</v>
      </c>
      <c r="J98" s="247">
        <v>0.97099999999999997</v>
      </c>
      <c r="K98" s="248">
        <v>0.92800000000000005</v>
      </c>
      <c r="L98" s="249">
        <v>0.81299999999999994</v>
      </c>
      <c r="M98" s="250">
        <v>0.83699999999999997</v>
      </c>
      <c r="N98" s="251">
        <v>0.88700000000000001</v>
      </c>
      <c r="O98" s="252">
        <v>0.218</v>
      </c>
      <c r="P98" s="253">
        <v>0.22700000000000001</v>
      </c>
      <c r="Q98" s="254">
        <v>0.218</v>
      </c>
      <c r="R98" s="279">
        <v>0.24</v>
      </c>
      <c r="T98" s="265">
        <f t="shared" ref="T98" si="67">H98</f>
        <v>45908</v>
      </c>
      <c r="U98" s="115">
        <v>3.644E-2</v>
      </c>
      <c r="V98" s="115">
        <v>3.4970000000000001E-2</v>
      </c>
      <c r="W98" s="115">
        <v>3.4689999999999999E-2</v>
      </c>
      <c r="X98" s="115">
        <v>3.576E-2</v>
      </c>
    </row>
    <row r="99" spans="1:24" x14ac:dyDescent="0.3">
      <c r="A99" s="265">
        <v>45915</v>
      </c>
      <c r="B99" s="243">
        <v>0.1187</v>
      </c>
      <c r="C99" s="244">
        <v>0.1177</v>
      </c>
      <c r="D99" s="245">
        <v>0.2009</v>
      </c>
      <c r="E99" s="246">
        <v>0.15160000000000001</v>
      </c>
      <c r="F99" s="7">
        <v>0.12709999999999999</v>
      </c>
      <c r="H99" s="265">
        <f t="shared" ref="H99" si="68">A99</f>
        <v>45915</v>
      </c>
      <c r="I99" s="99">
        <v>0.877</v>
      </c>
      <c r="J99" s="247">
        <v>0.97099999999999997</v>
      </c>
      <c r="K99" s="248">
        <v>0.92700000000000005</v>
      </c>
      <c r="L99" s="249">
        <v>0.81599999999999995</v>
      </c>
      <c r="M99" s="250">
        <v>0.83699999999999997</v>
      </c>
      <c r="N99" s="251">
        <v>0.89</v>
      </c>
      <c r="O99" s="252">
        <v>0.216</v>
      </c>
      <c r="P99" s="253">
        <v>0.223</v>
      </c>
      <c r="Q99" s="254">
        <v>0.214</v>
      </c>
      <c r="R99" s="279">
        <v>0.23599999999999999</v>
      </c>
      <c r="T99" s="265">
        <f t="shared" ref="T99" si="69">H99</f>
        <v>45915</v>
      </c>
      <c r="U99" s="115">
        <v>3.6479999999999999E-2</v>
      </c>
      <c r="V99" s="115">
        <v>3.5310000000000001E-2</v>
      </c>
      <c r="W99" s="115">
        <v>3.4939999999999999E-2</v>
      </c>
      <c r="X99" s="115">
        <v>3.5970000000000002E-2</v>
      </c>
    </row>
    <row r="100" spans="1:24" x14ac:dyDescent="0.3">
      <c r="A100" s="265">
        <v>45922</v>
      </c>
      <c r="B100" s="243">
        <v>0.1295</v>
      </c>
      <c r="C100" s="244">
        <v>0.1246</v>
      </c>
      <c r="D100" s="245">
        <v>0.19769999999999999</v>
      </c>
      <c r="E100" s="246">
        <v>0.15870000000000001</v>
      </c>
      <c r="F100" s="7">
        <v>0.13569999999999999</v>
      </c>
      <c r="H100" s="265">
        <f t="shared" ref="H100" si="70">A100</f>
        <v>45922</v>
      </c>
      <c r="I100" s="99">
        <v>0.872</v>
      </c>
      <c r="J100" s="247">
        <v>0.97099999999999997</v>
      </c>
      <c r="K100" s="248">
        <v>0.92600000000000005</v>
      </c>
      <c r="L100" s="249">
        <v>0.81299999999999994</v>
      </c>
      <c r="M100" s="250">
        <v>0.83699999999999997</v>
      </c>
      <c r="N100" s="251">
        <v>0.88600000000000001</v>
      </c>
      <c r="O100" s="252">
        <v>0.20699999999999999</v>
      </c>
      <c r="P100" s="253">
        <v>0.216</v>
      </c>
      <c r="Q100" s="254">
        <v>0.20899999999999999</v>
      </c>
      <c r="R100" s="279">
        <v>0.23100000000000001</v>
      </c>
      <c r="T100" s="265">
        <f t="shared" ref="T100" si="71">H100</f>
        <v>45922</v>
      </c>
      <c r="U100" s="115">
        <v>3.5979999999999998E-2</v>
      </c>
      <c r="V100" s="115">
        <v>3.567E-2</v>
      </c>
      <c r="W100" s="115">
        <v>3.5479999999999998E-2</v>
      </c>
      <c r="X100" s="115">
        <v>3.6679999999999997E-2</v>
      </c>
    </row>
    <row r="101" spans="1:24" x14ac:dyDescent="0.3">
      <c r="A101" s="265">
        <v>45929</v>
      </c>
      <c r="B101" s="243">
        <v>0.12820000000000001</v>
      </c>
      <c r="C101" s="244">
        <v>0.12520000000000001</v>
      </c>
      <c r="D101" s="245">
        <v>0.19950000000000001</v>
      </c>
      <c r="E101" s="246">
        <v>0.16639999999999999</v>
      </c>
      <c r="F101" s="7">
        <v>0.13669999999999999</v>
      </c>
      <c r="H101" s="265">
        <f t="shared" ref="H101" si="72">A101</f>
        <v>45929</v>
      </c>
      <c r="I101" s="99">
        <v>0.874</v>
      </c>
      <c r="J101" s="247">
        <v>0.97099999999999997</v>
      </c>
      <c r="K101" s="248">
        <v>0.92700000000000005</v>
      </c>
      <c r="L101" s="249">
        <v>0.81599999999999995</v>
      </c>
      <c r="M101" s="250">
        <v>0.83799999999999997</v>
      </c>
      <c r="N101" s="251">
        <v>0.88600000000000001</v>
      </c>
      <c r="O101" s="252">
        <v>0.20499999999999999</v>
      </c>
      <c r="P101" s="253">
        <v>0.216</v>
      </c>
      <c r="Q101" s="254">
        <v>0.20799999999999999</v>
      </c>
      <c r="R101" s="279">
        <v>0.22900000000000001</v>
      </c>
      <c r="T101" s="265">
        <f t="shared" ref="T101" si="73">H101</f>
        <v>45929</v>
      </c>
      <c r="U101" s="115">
        <v>3.671E-2</v>
      </c>
      <c r="V101" s="115">
        <v>3.637E-2</v>
      </c>
      <c r="W101" s="115">
        <v>3.6429999999999997E-2</v>
      </c>
      <c r="X101" s="115">
        <v>3.7530000000000001E-2</v>
      </c>
    </row>
    <row r="102" spans="1:24" x14ac:dyDescent="0.3">
      <c r="A102" s="265">
        <v>45936</v>
      </c>
      <c r="B102" s="243">
        <v>0.13370000000000001</v>
      </c>
      <c r="C102" s="244">
        <v>0.12839999999999999</v>
      </c>
      <c r="D102" s="245">
        <v>0.20050000000000001</v>
      </c>
      <c r="E102" s="246">
        <v>0.17169999999999999</v>
      </c>
      <c r="F102" s="7">
        <v>0.1429</v>
      </c>
      <c r="H102" s="265">
        <f t="shared" ref="H102" si="74">A102</f>
        <v>45936</v>
      </c>
      <c r="I102" s="99">
        <v>0.872</v>
      </c>
      <c r="J102" s="247">
        <v>0.97099999999999997</v>
      </c>
      <c r="K102" s="248">
        <v>0.92600000000000005</v>
      </c>
      <c r="L102" s="249">
        <v>0.81299999999999994</v>
      </c>
      <c r="M102" s="250">
        <v>0.83699999999999997</v>
      </c>
      <c r="N102" s="251">
        <v>0.88600000000000001</v>
      </c>
      <c r="O102" s="252">
        <v>0.20300000000000001</v>
      </c>
      <c r="P102" s="253">
        <v>0.214</v>
      </c>
      <c r="Q102" s="254">
        <v>0.20399999999999999</v>
      </c>
      <c r="R102" s="279">
        <v>0.22600000000000001</v>
      </c>
      <c r="T102" s="265">
        <f t="shared" ref="T102" si="75">H102</f>
        <v>45936</v>
      </c>
      <c r="U102" s="115">
        <v>3.6549999999999999E-2</v>
      </c>
      <c r="V102" s="115">
        <v>3.594E-2</v>
      </c>
      <c r="W102" s="115">
        <v>3.6130000000000002E-2</v>
      </c>
      <c r="X102" s="115">
        <v>3.7409999999999999E-2</v>
      </c>
    </row>
    <row r="103" spans="1:24" x14ac:dyDescent="0.3">
      <c r="A103" s="265">
        <v>45943</v>
      </c>
      <c r="B103" s="243">
        <v>0.1676</v>
      </c>
      <c r="C103" s="244">
        <v>0.16270000000000001</v>
      </c>
      <c r="D103" s="245">
        <v>0.24640000000000001</v>
      </c>
      <c r="E103" s="246">
        <v>0.2238</v>
      </c>
      <c r="F103" s="7">
        <v>0.16470000000000001</v>
      </c>
      <c r="H103" s="265">
        <f t="shared" ref="H103" si="76">A103</f>
        <v>45943</v>
      </c>
      <c r="I103" s="99">
        <v>0.877</v>
      </c>
      <c r="J103" s="247">
        <v>0.97199999999999998</v>
      </c>
      <c r="K103" s="248">
        <v>0.92700000000000005</v>
      </c>
      <c r="L103" s="249">
        <v>0.82099999999999995</v>
      </c>
      <c r="M103" s="250">
        <v>0.83899999999999997</v>
      </c>
      <c r="N103" s="251">
        <v>0.88700000000000001</v>
      </c>
      <c r="O103" s="252">
        <v>0.219</v>
      </c>
      <c r="P103" s="253">
        <v>0.22800000000000001</v>
      </c>
      <c r="Q103" s="254">
        <v>0.215</v>
      </c>
      <c r="R103" s="279">
        <v>0.23499999999999999</v>
      </c>
      <c r="T103" s="265">
        <f t="shared" ref="T103" si="77">H103</f>
        <v>45943</v>
      </c>
      <c r="U103" s="115">
        <v>3.6159999999999998E-2</v>
      </c>
      <c r="V103" s="115">
        <v>3.5290000000000002E-2</v>
      </c>
      <c r="W103" s="115">
        <v>3.5389999999999998E-2</v>
      </c>
      <c r="X103" s="115">
        <v>3.6540000000000003E-2</v>
      </c>
    </row>
    <row r="104" spans="1:24" x14ac:dyDescent="0.3">
      <c r="A104" s="265">
        <v>45950</v>
      </c>
      <c r="B104" s="243">
        <v>0.16400000000000001</v>
      </c>
      <c r="C104" s="244">
        <v>0.15079999999999999</v>
      </c>
      <c r="D104" s="245">
        <v>0.24310000000000001</v>
      </c>
      <c r="E104" s="246">
        <v>0.21360000000000001</v>
      </c>
      <c r="F104" s="7">
        <v>0.15409999999999999</v>
      </c>
      <c r="H104" s="265">
        <f t="shared" ref="H104" si="78">A104</f>
        <v>45950</v>
      </c>
      <c r="I104" s="99">
        <v>0.875</v>
      </c>
      <c r="J104" s="247">
        <v>0.97199999999999998</v>
      </c>
      <c r="K104" s="248">
        <v>0.92700000000000005</v>
      </c>
      <c r="L104" s="249">
        <v>0.82</v>
      </c>
      <c r="M104" s="250">
        <v>0.83899999999999997</v>
      </c>
      <c r="N104" s="251">
        <v>0.88500000000000001</v>
      </c>
      <c r="O104" s="252">
        <v>0.21299999999999999</v>
      </c>
      <c r="P104" s="253">
        <v>0.224</v>
      </c>
      <c r="Q104" s="254">
        <v>0.22</v>
      </c>
      <c r="R104" s="279">
        <v>0.22900000000000001</v>
      </c>
      <c r="T104" s="265">
        <f t="shared" ref="T104" si="79">H104</f>
        <v>45950</v>
      </c>
      <c r="U104" s="115">
        <v>3.5659999999999997E-2</v>
      </c>
      <c r="V104" s="115">
        <v>3.4590000000000003E-2</v>
      </c>
      <c r="W104" s="115">
        <v>3.4639999999999997E-2</v>
      </c>
      <c r="X104" s="115">
        <v>3.5810000000000002E-2</v>
      </c>
    </row>
    <row r="105" spans="1:24" x14ac:dyDescent="0.3">
      <c r="A105" s="265">
        <v>45957</v>
      </c>
      <c r="B105" s="243">
        <v>0.12659999999999999</v>
      </c>
      <c r="C105" s="244">
        <v>0.1205</v>
      </c>
      <c r="D105" s="245">
        <v>0.2016</v>
      </c>
      <c r="E105" s="246">
        <v>0.1762</v>
      </c>
      <c r="F105" s="7">
        <v>0.1336</v>
      </c>
      <c r="H105" s="265">
        <f t="shared" ref="H105" si="80">A105</f>
        <v>45957</v>
      </c>
      <c r="I105" s="99">
        <v>0.876</v>
      </c>
      <c r="J105" s="247">
        <v>0.97299999999999998</v>
      </c>
      <c r="K105" s="248">
        <v>0.92800000000000005</v>
      </c>
      <c r="L105" s="249">
        <v>0.82499999999999996</v>
      </c>
      <c r="M105" s="250">
        <v>0.84299999999999997</v>
      </c>
      <c r="N105" s="251">
        <v>0.88500000000000001</v>
      </c>
      <c r="O105" s="252">
        <v>0.218</v>
      </c>
      <c r="P105" s="253">
        <v>0.22700000000000001</v>
      </c>
      <c r="Q105" s="254">
        <v>0.224</v>
      </c>
      <c r="R105" s="279">
        <v>0.23200000000000001</v>
      </c>
      <c r="T105" s="265">
        <f t="shared" ref="T105" si="81">H105</f>
        <v>45957</v>
      </c>
      <c r="U105" s="115">
        <v>3.6040000000000003E-2</v>
      </c>
      <c r="V105" s="115">
        <v>3.5069999999999997E-2</v>
      </c>
      <c r="W105" s="115">
        <v>3.5110000000000002E-2</v>
      </c>
      <c r="X105" s="115">
        <v>3.6269999999999997E-2</v>
      </c>
    </row>
    <row r="106" spans="1:24" x14ac:dyDescent="0.3">
      <c r="A106" s="265">
        <v>45964</v>
      </c>
      <c r="B106" s="243">
        <v>0.14460000000000001</v>
      </c>
      <c r="C106" s="244">
        <v>0.13850000000000001</v>
      </c>
      <c r="D106" s="245">
        <v>0.2167</v>
      </c>
      <c r="E106" s="246">
        <v>0.191</v>
      </c>
      <c r="F106" s="7">
        <v>0.1416</v>
      </c>
      <c r="H106" s="265">
        <f t="shared" ref="H106" si="82">A106</f>
        <v>45964</v>
      </c>
      <c r="I106" s="99">
        <v>0.875</v>
      </c>
      <c r="J106" s="247">
        <v>0.97299999999999998</v>
      </c>
      <c r="K106" s="248">
        <v>0.92900000000000005</v>
      </c>
      <c r="L106" s="249">
        <v>0.82399999999999995</v>
      </c>
      <c r="M106" s="250">
        <v>0.84399999999999997</v>
      </c>
      <c r="N106" s="251">
        <v>0.88300000000000001</v>
      </c>
      <c r="O106" s="252">
        <v>0.21099999999999999</v>
      </c>
      <c r="P106" s="253">
        <v>0.221</v>
      </c>
      <c r="Q106" s="254">
        <v>0.216</v>
      </c>
      <c r="R106" s="279">
        <v>0.22600000000000001</v>
      </c>
      <c r="T106" s="265">
        <f t="shared" ref="T106" si="83">H106</f>
        <v>45964</v>
      </c>
      <c r="U106" s="115">
        <v>3.6979999999999999E-2</v>
      </c>
      <c r="V106" s="115">
        <v>3.6049999999999999E-2</v>
      </c>
      <c r="W106" s="115">
        <v>3.6089999999999997E-2</v>
      </c>
      <c r="X106" s="115">
        <v>3.7199999999999997E-2</v>
      </c>
    </row>
    <row r="107" spans="1:24" x14ac:dyDescent="0.3">
      <c r="A107" s="265">
        <v>45971</v>
      </c>
      <c r="B107" s="243">
        <v>0.1522</v>
      </c>
      <c r="C107" s="244">
        <v>0.1477</v>
      </c>
      <c r="D107" s="245">
        <v>0.23449999999999999</v>
      </c>
      <c r="E107" s="246">
        <v>0.21579999999999999</v>
      </c>
      <c r="F107" s="7">
        <v>0.1542</v>
      </c>
      <c r="H107" s="265">
        <f t="shared" ref="H107" si="84">A107</f>
        <v>45971</v>
      </c>
      <c r="I107" s="99">
        <v>0.879</v>
      </c>
      <c r="J107" s="247">
        <v>0.97299999999999998</v>
      </c>
      <c r="K107" s="248">
        <v>0.92900000000000005</v>
      </c>
      <c r="L107" s="249">
        <v>0.83099999999999996</v>
      </c>
      <c r="M107" s="250">
        <v>0.84399999999999997</v>
      </c>
      <c r="N107" s="251">
        <v>0.877</v>
      </c>
      <c r="O107" s="252">
        <v>0.22600000000000001</v>
      </c>
      <c r="P107" s="253">
        <v>0.23899999999999999</v>
      </c>
      <c r="Q107" s="254">
        <v>0.25600000000000001</v>
      </c>
      <c r="R107" s="279">
        <v>0.25600000000000001</v>
      </c>
      <c r="T107" s="265">
        <f t="shared" ref="T107" si="85">H107</f>
        <v>45971</v>
      </c>
      <c r="U107" s="115">
        <v>3.6499999999999998E-2</v>
      </c>
      <c r="V107" s="115">
        <v>3.5819999999999998E-2</v>
      </c>
      <c r="W107" s="115">
        <v>3.594E-2</v>
      </c>
      <c r="X107" s="115">
        <v>3.7080000000000002E-2</v>
      </c>
    </row>
    <row r="108" spans="1:24" x14ac:dyDescent="0.3">
      <c r="A108" s="265">
        <v>45978</v>
      </c>
      <c r="B108" s="243">
        <v>0.1726</v>
      </c>
      <c r="C108" s="244">
        <v>0.15010000000000001</v>
      </c>
      <c r="D108" s="245">
        <v>0.2402</v>
      </c>
      <c r="E108" s="246">
        <v>0.22939999999999999</v>
      </c>
      <c r="F108" s="7">
        <v>0.17</v>
      </c>
      <c r="H108" s="265">
        <f t="shared" ref="H108" si="86">A108</f>
        <v>45978</v>
      </c>
      <c r="I108" s="99">
        <v>0.88200000000000001</v>
      </c>
      <c r="J108" s="247">
        <v>0.97299999999999998</v>
      </c>
      <c r="K108" s="248">
        <v>0.92800000000000005</v>
      </c>
      <c r="L108" s="249">
        <v>0.83599999999999997</v>
      </c>
      <c r="M108" s="250">
        <v>0.84299999999999997</v>
      </c>
      <c r="N108" s="251">
        <v>0.875</v>
      </c>
      <c r="O108" s="252">
        <v>0.23699999999999999</v>
      </c>
      <c r="P108" s="253">
        <v>0.251</v>
      </c>
      <c r="Q108" s="254">
        <v>0.25600000000000001</v>
      </c>
      <c r="R108" s="279">
        <v>0.26700000000000002</v>
      </c>
      <c r="T108" s="265">
        <f t="shared" ref="T108" si="87">H108</f>
        <v>45978</v>
      </c>
      <c r="U108" s="115">
        <v>3.705E-2</v>
      </c>
      <c r="V108" s="115">
        <v>3.6060000000000002E-2</v>
      </c>
      <c r="W108" s="115">
        <v>3.6049999999999999E-2</v>
      </c>
      <c r="X108" s="115">
        <v>3.721E-2</v>
      </c>
    </row>
    <row r="109" spans="1:24" x14ac:dyDescent="0.3">
      <c r="A109" s="265">
        <v>45985</v>
      </c>
      <c r="B109" s="243">
        <v>0.1845</v>
      </c>
      <c r="C109" s="244">
        <v>0.15890000000000001</v>
      </c>
      <c r="D109" s="245">
        <v>0.25180000000000002</v>
      </c>
      <c r="E109" s="246">
        <v>0.25679999999999997</v>
      </c>
      <c r="F109" s="7">
        <v>0.17979999999999999</v>
      </c>
      <c r="H109" s="265">
        <f t="shared" ref="H109" si="88">A109</f>
        <v>45985</v>
      </c>
      <c r="I109" s="99">
        <v>0.88200000000000001</v>
      </c>
      <c r="J109" s="247">
        <v>0.97299999999999998</v>
      </c>
      <c r="K109" s="248">
        <v>0.93100000000000005</v>
      </c>
      <c r="L109" s="249">
        <v>0.83499999999999996</v>
      </c>
      <c r="M109" s="250">
        <v>0.84699999999999998</v>
      </c>
      <c r="N109" s="251">
        <v>0.873</v>
      </c>
      <c r="O109" s="252">
        <v>0.23799999999999999</v>
      </c>
      <c r="P109" s="253">
        <v>0.25</v>
      </c>
      <c r="Q109" s="254">
        <v>0.24199999999999999</v>
      </c>
      <c r="R109" s="279">
        <v>0.26600000000000001</v>
      </c>
      <c r="T109" s="265">
        <f t="shared" ref="T109" si="89">H109</f>
        <v>45985</v>
      </c>
      <c r="U109" s="115">
        <v>3.6249999999999998E-2</v>
      </c>
      <c r="V109" s="115">
        <v>3.5119999999999998E-2</v>
      </c>
      <c r="W109" s="115">
        <v>3.4970000000000001E-2</v>
      </c>
      <c r="X109" s="115">
        <v>3.6111999999999998E-2</v>
      </c>
    </row>
    <row r="110" spans="1:24" x14ac:dyDescent="0.3">
      <c r="A110" s="265">
        <v>45992</v>
      </c>
      <c r="B110" s="243">
        <v>0.14860000000000001</v>
      </c>
      <c r="C110" s="244">
        <v>0.12640000000000001</v>
      </c>
      <c r="D110" s="245">
        <v>0.19769999999999999</v>
      </c>
      <c r="E110" s="246">
        <v>0.18529999999999999</v>
      </c>
      <c r="F110" s="7">
        <v>0.1401</v>
      </c>
      <c r="H110" s="265">
        <f t="shared" ref="H110" si="90">A110</f>
        <v>45992</v>
      </c>
      <c r="I110" s="99">
        <v>0.88500000000000001</v>
      </c>
      <c r="J110" s="247">
        <v>0.97299999999999998</v>
      </c>
      <c r="K110" s="248">
        <v>0.93</v>
      </c>
      <c r="L110" s="249">
        <v>0.83799999999999997</v>
      </c>
      <c r="M110" s="250">
        <v>0.84499999999999997</v>
      </c>
      <c r="N110" s="251">
        <v>0.874</v>
      </c>
      <c r="O110" s="252">
        <v>0.24</v>
      </c>
      <c r="P110" s="253">
        <v>0.254</v>
      </c>
      <c r="Q110" s="254">
        <v>0.246</v>
      </c>
      <c r="R110" s="279">
        <v>0.27100000000000002</v>
      </c>
      <c r="T110" s="265">
        <f t="shared" ref="T110" si="91">H110</f>
        <v>45992</v>
      </c>
      <c r="U110" s="115">
        <v>3.6069999999999998E-2</v>
      </c>
      <c r="V110" s="115">
        <v>3.5180000000000003E-2</v>
      </c>
      <c r="W110" s="115">
        <v>3.5229999999999997E-2</v>
      </c>
      <c r="X110" s="115">
        <v>3.6429999999999997E-2</v>
      </c>
    </row>
    <row r="111" spans="1:24" x14ac:dyDescent="0.3">
      <c r="A111" s="265">
        <v>45999</v>
      </c>
      <c r="B111" s="243">
        <v>0.13200000000000001</v>
      </c>
      <c r="C111" s="244">
        <v>0.12180000000000001</v>
      </c>
      <c r="D111" s="245">
        <v>0.1923</v>
      </c>
      <c r="E111" s="246">
        <v>0.16739999999999999</v>
      </c>
      <c r="F111" s="7">
        <v>0.1242</v>
      </c>
      <c r="H111" s="265">
        <f t="shared" ref="H111" si="92">A111</f>
        <v>45999</v>
      </c>
      <c r="I111" s="99">
        <v>0.88400000000000001</v>
      </c>
      <c r="J111" s="247">
        <v>0.97399999999999998</v>
      </c>
      <c r="K111" s="248">
        <v>0.93</v>
      </c>
      <c r="L111" s="249">
        <v>0.83599999999999997</v>
      </c>
      <c r="M111" s="250">
        <v>0.84699999999999998</v>
      </c>
      <c r="N111" s="251">
        <v>0.874</v>
      </c>
      <c r="O111" s="252">
        <v>0.23699999999999999</v>
      </c>
      <c r="P111" s="253">
        <v>0.254</v>
      </c>
      <c r="Q111" s="254">
        <v>0.249</v>
      </c>
      <c r="R111" s="279">
        <v>0.27400000000000002</v>
      </c>
      <c r="T111" s="265">
        <f t="shared" ref="T111" si="93">H111</f>
        <v>45999</v>
      </c>
      <c r="U111" s="115">
        <v>3.6159999999999998E-2</v>
      </c>
      <c r="V111" s="115">
        <v>3.5790000000000002E-2</v>
      </c>
      <c r="W111" s="115">
        <v>3.6040000000000003E-2</v>
      </c>
      <c r="X111" s="115">
        <v>3.7310000000000003E-2</v>
      </c>
    </row>
    <row r="112" spans="1:24" x14ac:dyDescent="0.3">
      <c r="A112" s="265">
        <v>46006</v>
      </c>
      <c r="B112" s="243">
        <v>0.1293</v>
      </c>
      <c r="C112" s="244">
        <v>0.12139999999999999</v>
      </c>
      <c r="D112" s="245">
        <v>0.18659999999999999</v>
      </c>
      <c r="E112" s="246">
        <v>0.17580000000000001</v>
      </c>
      <c r="F112" s="7">
        <v>0.12180000000000001</v>
      </c>
      <c r="H112" s="265">
        <f t="shared" ref="H112" si="94">A112</f>
        <v>46006</v>
      </c>
      <c r="I112" s="99">
        <v>0.88400000000000001</v>
      </c>
      <c r="J112" s="247">
        <v>0.97399999999999998</v>
      </c>
      <c r="K112" s="248">
        <v>0.92900000000000005</v>
      </c>
      <c r="L112" s="249">
        <v>0.83599999999999997</v>
      </c>
      <c r="M112" s="250">
        <v>0.84499999999999997</v>
      </c>
      <c r="N112" s="251">
        <v>0.874</v>
      </c>
      <c r="O112" s="252">
        <v>0.23799999999999999</v>
      </c>
      <c r="P112" s="253">
        <v>0.255</v>
      </c>
      <c r="Q112" s="254">
        <v>0.252</v>
      </c>
      <c r="R112" s="279">
        <v>0.27600000000000002</v>
      </c>
      <c r="T112" s="265">
        <f t="shared" ref="T112" si="95">H112</f>
        <v>46006</v>
      </c>
      <c r="U112" s="115">
        <v>3.5000000000000003E-2</v>
      </c>
      <c r="V112" s="115">
        <v>3.499E-2</v>
      </c>
      <c r="W112" s="115">
        <v>3.5499999999999997E-2</v>
      </c>
      <c r="X112" s="115">
        <v>3.7139999999999999E-2</v>
      </c>
    </row>
    <row r="113" spans="1:24" x14ac:dyDescent="0.3">
      <c r="A113" s="265">
        <v>46013</v>
      </c>
      <c r="B113" s="243">
        <v>0.1188</v>
      </c>
      <c r="C113" s="244">
        <v>0.1119</v>
      </c>
      <c r="D113" s="245">
        <v>0.1701</v>
      </c>
      <c r="E113" s="246">
        <v>0.157</v>
      </c>
      <c r="F113" s="7">
        <v>0.1166</v>
      </c>
      <c r="H113" s="265">
        <f t="shared" ref="H113" si="96">A113</f>
        <v>46013</v>
      </c>
      <c r="I113" s="99">
        <v>0.88100000000000001</v>
      </c>
      <c r="J113" s="247">
        <v>0.97399999999999998</v>
      </c>
      <c r="K113" s="248">
        <v>0.92600000000000005</v>
      </c>
      <c r="L113" s="249">
        <v>0.83199999999999996</v>
      </c>
      <c r="M113" s="250">
        <v>0.84099999999999997</v>
      </c>
      <c r="N113" s="251">
        <v>0.871</v>
      </c>
      <c r="O113" s="252">
        <v>0.25</v>
      </c>
      <c r="P113" s="253">
        <v>0.26800000000000002</v>
      </c>
      <c r="Q113" s="254">
        <v>0.26300000000000001</v>
      </c>
      <c r="R113" s="279">
        <v>0.28699999999999998</v>
      </c>
      <c r="T113" s="265">
        <f t="shared" ref="T113" si="97">H113</f>
        <v>46013</v>
      </c>
      <c r="U113" s="115">
        <v>3.5220000000000001E-2</v>
      </c>
      <c r="V113" s="115">
        <v>3.5020000000000003E-2</v>
      </c>
      <c r="W113" s="115">
        <v>3.5499999999999997E-2</v>
      </c>
      <c r="X113" s="115">
        <v>3.7130000000000003E-2</v>
      </c>
    </row>
    <row r="114" spans="1:24" ht="15" customHeight="1" x14ac:dyDescent="0.3">
      <c r="A114" s="265">
        <v>46020</v>
      </c>
      <c r="B114" s="243">
        <v>0.12139999999999999</v>
      </c>
      <c r="C114" s="244">
        <v>0.107</v>
      </c>
      <c r="D114" s="245">
        <v>0.16700000000000001</v>
      </c>
      <c r="E114" s="246">
        <v>0.14430000000000001</v>
      </c>
      <c r="F114" s="7">
        <v>0.12529999999999999</v>
      </c>
      <c r="H114" s="265">
        <f t="shared" ref="H114" si="98">A114</f>
        <v>46020</v>
      </c>
      <c r="I114" s="99">
        <v>0.88100000000000001</v>
      </c>
      <c r="J114" s="247">
        <v>0.97399999999999998</v>
      </c>
      <c r="K114" s="248">
        <v>0.92600000000000005</v>
      </c>
      <c r="L114" s="249">
        <v>0.83099999999999996</v>
      </c>
      <c r="M114" s="250">
        <v>0.84</v>
      </c>
      <c r="N114" s="251">
        <v>0.87</v>
      </c>
      <c r="O114" s="252">
        <v>0.252</v>
      </c>
      <c r="P114" s="253">
        <v>0.27</v>
      </c>
      <c r="Q114" s="254">
        <v>0.26200000000000001</v>
      </c>
      <c r="R114" s="279">
        <v>0.28799999999999998</v>
      </c>
      <c r="T114" s="265">
        <f t="shared" ref="T114" si="99">H114</f>
        <v>46020</v>
      </c>
      <c r="U114" s="115">
        <v>3.4869999999999998E-2</v>
      </c>
      <c r="V114" s="115">
        <v>3.4669999999999999E-2</v>
      </c>
      <c r="W114" s="115">
        <v>3.5130000000000002E-2</v>
      </c>
      <c r="X114" s="115">
        <v>3.6749999999999998E-2</v>
      </c>
    </row>
    <row r="115" spans="1:24" ht="15" customHeight="1" x14ac:dyDescent="0.3">
      <c r="A115" s="265">
        <v>46027</v>
      </c>
      <c r="B115" s="243">
        <v>0.12740000000000001</v>
      </c>
      <c r="C115" s="244">
        <v>0.114</v>
      </c>
      <c r="D115" s="245">
        <v>0.1767</v>
      </c>
      <c r="E115" s="246">
        <v>0.17080000000000001</v>
      </c>
      <c r="F115" s="7">
        <v>0.1305</v>
      </c>
      <c r="H115" s="265">
        <f t="shared" ref="H115" si="100">A115</f>
        <v>46027</v>
      </c>
      <c r="I115" s="99">
        <v>0.88</v>
      </c>
      <c r="J115" s="247">
        <v>0.97299999999999998</v>
      </c>
      <c r="K115" s="248">
        <v>0.92500000000000004</v>
      </c>
      <c r="L115" s="249">
        <v>0.83</v>
      </c>
      <c r="M115" s="250">
        <v>0.83899999999999997</v>
      </c>
      <c r="N115" s="251">
        <v>0.871</v>
      </c>
      <c r="O115" s="252">
        <v>0.25600000000000001</v>
      </c>
      <c r="P115" s="253">
        <v>0.27400000000000002</v>
      </c>
      <c r="Q115" s="254">
        <v>0.26700000000000002</v>
      </c>
      <c r="R115" s="279">
        <v>0.29199999999999998</v>
      </c>
      <c r="T115" s="265">
        <f t="shared" ref="T115" si="101">H115</f>
        <v>46027</v>
      </c>
      <c r="U115" s="115">
        <v>3.4720000000000001E-2</v>
      </c>
      <c r="V115" s="115">
        <v>3.4750000000000003E-2</v>
      </c>
      <c r="W115" s="115">
        <v>3.5450000000000002E-2</v>
      </c>
      <c r="X115" s="115">
        <v>3.7359999999999997E-2</v>
      </c>
    </row>
    <row r="116" spans="1:24" ht="15" customHeight="1" x14ac:dyDescent="0.3">
      <c r="A116" s="265">
        <v>46034</v>
      </c>
      <c r="B116" s="243">
        <v>0.13139999999999999</v>
      </c>
      <c r="C116" s="244">
        <v>0.1159</v>
      </c>
      <c r="D116" s="245">
        <v>0.1807</v>
      </c>
      <c r="E116" s="246">
        <v>0.1646</v>
      </c>
      <c r="F116" s="7">
        <v>0.1361</v>
      </c>
      <c r="H116" s="265">
        <f t="shared" ref="H116" si="102">A116</f>
        <v>46034</v>
      </c>
      <c r="I116" s="99">
        <v>0.879</v>
      </c>
      <c r="J116" s="247">
        <v>0.97299999999999998</v>
      </c>
      <c r="K116" s="248">
        <v>0.92400000000000004</v>
      </c>
      <c r="L116" s="249">
        <v>0.82799999999999996</v>
      </c>
      <c r="M116" s="250">
        <v>0.83699999999999997</v>
      </c>
      <c r="N116" s="251">
        <v>0.871</v>
      </c>
      <c r="O116" s="252">
        <v>0.25900000000000001</v>
      </c>
      <c r="P116" s="253">
        <v>0.27900000000000003</v>
      </c>
      <c r="Q116" s="254">
        <v>0.27400000000000002</v>
      </c>
      <c r="R116" s="279">
        <v>0.3</v>
      </c>
      <c r="T116" s="265">
        <f t="shared" ref="T116" si="103">H116</f>
        <v>46034</v>
      </c>
      <c r="U116" s="115">
        <v>3.5209999999999998E-2</v>
      </c>
      <c r="V116" s="115">
        <v>3.5409999999999997E-2</v>
      </c>
      <c r="W116" s="115">
        <v>3.5990000000000001E-2</v>
      </c>
      <c r="X116" s="115">
        <v>3.7670000000000002E-2</v>
      </c>
    </row>
  </sheetData>
  <conditionalFormatting sqref="B1:B104857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4857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O104857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:P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:Q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:R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:U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:V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:W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:X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F244EB3E-9B8E-413C-9C38-2460FFDD007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'Volatility &amp; Correlation'!AH38:AH38</xm:f>
              <xm:sqref>AR50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65086-E9A8-452C-8420-26F2ADA31E12}">
  <dimension ref="A1:G20"/>
  <sheetViews>
    <sheetView zoomScale="190" zoomScaleNormal="190" workbookViewId="0">
      <selection activeCell="F2" sqref="F2"/>
    </sheetView>
  </sheetViews>
  <sheetFormatPr defaultRowHeight="14.4" x14ac:dyDescent="0.3"/>
  <cols>
    <col min="1" max="1" width="16.33203125" bestFit="1" customWidth="1"/>
    <col min="6" max="6" width="12" bestFit="1" customWidth="1"/>
    <col min="10" max="10" width="16.6640625" customWidth="1"/>
  </cols>
  <sheetData>
    <row r="1" spans="1:7" x14ac:dyDescent="0.3">
      <c r="A1" s="307" t="s">
        <v>34</v>
      </c>
      <c r="B1" s="308" t="s">
        <v>35</v>
      </c>
      <c r="C1" s="308" t="s">
        <v>36</v>
      </c>
      <c r="D1" s="309" t="s">
        <v>37</v>
      </c>
    </row>
    <row r="2" spans="1:7" x14ac:dyDescent="0.3">
      <c r="A2" s="310" t="s">
        <v>43</v>
      </c>
      <c r="B2" s="311">
        <v>34.57</v>
      </c>
      <c r="C2" s="312" t="s">
        <v>59</v>
      </c>
      <c r="D2" s="313" t="s">
        <v>60</v>
      </c>
      <c r="E2" s="333"/>
      <c r="F2" s="333"/>
    </row>
    <row r="3" spans="1:7" x14ac:dyDescent="0.3">
      <c r="A3" s="310" t="s">
        <v>57</v>
      </c>
      <c r="B3" s="314">
        <v>39</v>
      </c>
      <c r="C3" s="312" t="s">
        <v>61</v>
      </c>
      <c r="D3" s="313" t="s">
        <v>62</v>
      </c>
    </row>
    <row r="4" spans="1:7" x14ac:dyDescent="0.3">
      <c r="A4" s="310" t="s">
        <v>38</v>
      </c>
      <c r="B4" s="316">
        <v>39.11</v>
      </c>
      <c r="C4" s="312" t="s">
        <v>61</v>
      </c>
      <c r="D4" s="313" t="s">
        <v>62</v>
      </c>
    </row>
    <row r="5" spans="1:7" x14ac:dyDescent="0.3">
      <c r="A5" s="310" t="s">
        <v>46</v>
      </c>
      <c r="B5" s="315">
        <v>39.200000000000003</v>
      </c>
      <c r="C5" s="312" t="s">
        <v>63</v>
      </c>
      <c r="D5" s="313" t="s">
        <v>62</v>
      </c>
    </row>
    <row r="6" spans="1:7" x14ac:dyDescent="0.3">
      <c r="A6" s="310" t="s">
        <v>40</v>
      </c>
      <c r="B6" s="317">
        <v>42.99</v>
      </c>
      <c r="C6" s="312" t="s">
        <v>61</v>
      </c>
      <c r="D6" s="313" t="s">
        <v>64</v>
      </c>
    </row>
    <row r="7" spans="1:7" x14ac:dyDescent="0.3">
      <c r="A7" s="310" t="s">
        <v>44</v>
      </c>
      <c r="B7" s="318">
        <v>43.1</v>
      </c>
      <c r="C7" s="312" t="s">
        <v>63</v>
      </c>
      <c r="D7" s="313" t="s">
        <v>60</v>
      </c>
    </row>
    <row r="8" spans="1:7" x14ac:dyDescent="0.3">
      <c r="A8" s="310" t="s">
        <v>42</v>
      </c>
      <c r="B8" s="319">
        <v>43.45</v>
      </c>
      <c r="C8" s="312" t="s">
        <v>61</v>
      </c>
      <c r="D8" s="313" t="s">
        <v>62</v>
      </c>
    </row>
    <row r="9" spans="1:7" x14ac:dyDescent="0.3">
      <c r="A9" s="310" t="s">
        <v>49</v>
      </c>
      <c r="B9" s="320">
        <v>46.41</v>
      </c>
      <c r="C9" s="312" t="s">
        <v>61</v>
      </c>
      <c r="D9" s="313" t="s">
        <v>64</v>
      </c>
    </row>
    <row r="10" spans="1:7" x14ac:dyDescent="0.3">
      <c r="A10" s="310" t="s">
        <v>55</v>
      </c>
      <c r="B10" s="324">
        <v>52.21</v>
      </c>
      <c r="C10" s="312" t="s">
        <v>61</v>
      </c>
      <c r="D10" s="313" t="s">
        <v>62</v>
      </c>
    </row>
    <row r="11" spans="1:7" x14ac:dyDescent="0.3">
      <c r="A11" s="310" t="s">
        <v>51</v>
      </c>
      <c r="B11" s="323">
        <v>53.31</v>
      </c>
      <c r="C11" s="312" t="s">
        <v>61</v>
      </c>
      <c r="D11" s="313" t="s">
        <v>60</v>
      </c>
      <c r="G11" s="300"/>
    </row>
    <row r="12" spans="1:7" x14ac:dyDescent="0.3">
      <c r="A12" s="310" t="s">
        <v>48</v>
      </c>
      <c r="B12" s="325">
        <v>53.46</v>
      </c>
      <c r="C12" s="312" t="s">
        <v>63</v>
      </c>
      <c r="D12" s="313" t="s">
        <v>65</v>
      </c>
    </row>
    <row r="13" spans="1:7" x14ac:dyDescent="0.3">
      <c r="A13" s="310" t="s">
        <v>52</v>
      </c>
      <c r="B13" s="322">
        <v>53.99</v>
      </c>
      <c r="C13" s="312" t="s">
        <v>59</v>
      </c>
      <c r="D13" s="313" t="s">
        <v>65</v>
      </c>
    </row>
    <row r="14" spans="1:7" x14ac:dyDescent="0.3">
      <c r="A14" s="310" t="s">
        <v>50</v>
      </c>
      <c r="B14" s="324">
        <v>54</v>
      </c>
      <c r="C14" s="312" t="s">
        <v>61</v>
      </c>
      <c r="D14" s="313" t="s">
        <v>60</v>
      </c>
    </row>
    <row r="15" spans="1:7" x14ac:dyDescent="0.3">
      <c r="A15" s="310" t="s">
        <v>47</v>
      </c>
      <c r="B15" s="321">
        <v>54.54</v>
      </c>
      <c r="C15" s="312" t="s">
        <v>66</v>
      </c>
      <c r="D15" s="313" t="s">
        <v>62</v>
      </c>
    </row>
    <row r="16" spans="1:7" x14ac:dyDescent="0.3">
      <c r="A16" s="310" t="s">
        <v>41</v>
      </c>
      <c r="B16" s="328">
        <v>55.46</v>
      </c>
      <c r="C16" s="312" t="s">
        <v>66</v>
      </c>
      <c r="D16" s="313" t="s">
        <v>62</v>
      </c>
    </row>
    <row r="17" spans="1:4" x14ac:dyDescent="0.3">
      <c r="A17" s="310" t="s">
        <v>53</v>
      </c>
      <c r="B17" s="327">
        <v>61.55</v>
      </c>
      <c r="C17" s="312" t="s">
        <v>67</v>
      </c>
      <c r="D17" s="313" t="s">
        <v>65</v>
      </c>
    </row>
    <row r="18" spans="1:4" x14ac:dyDescent="0.3">
      <c r="A18" s="310" t="s">
        <v>39</v>
      </c>
      <c r="B18" s="314">
        <v>61.89</v>
      </c>
      <c r="C18" s="312" t="s">
        <v>68</v>
      </c>
      <c r="D18" s="313" t="s">
        <v>62</v>
      </c>
    </row>
    <row r="19" spans="1:4" x14ac:dyDescent="0.3">
      <c r="A19" s="310" t="s">
        <v>45</v>
      </c>
      <c r="B19" s="326">
        <v>62.47</v>
      </c>
      <c r="C19" s="312" t="s">
        <v>68</v>
      </c>
      <c r="D19" s="313" t="s">
        <v>69</v>
      </c>
    </row>
    <row r="20" spans="1:4" ht="15" thickBot="1" x14ac:dyDescent="0.35">
      <c r="A20" s="329" t="s">
        <v>56</v>
      </c>
      <c r="B20" s="330">
        <v>83.79</v>
      </c>
      <c r="C20" s="331" t="s">
        <v>70</v>
      </c>
      <c r="D20" s="332" t="s">
        <v>65</v>
      </c>
    </row>
  </sheetData>
  <autoFilter ref="A1:D20" xr:uid="{21965086-E9A8-452C-8420-26F2ADA31E12}">
    <sortState xmlns:xlrd2="http://schemas.microsoft.com/office/spreadsheetml/2017/richdata2" ref="A2:D20">
      <sortCondition ref="B1:B20"/>
    </sortState>
  </autoFilter>
  <conditionalFormatting sqref="B1:B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67ACBC45545747910271F30828E5EF" ma:contentTypeVersion="12" ma:contentTypeDescription="Create a new document." ma:contentTypeScope="" ma:versionID="02bbfecd819e6ee149d62f92abaf92c1">
  <xsd:schema xmlns:xsd="http://www.w3.org/2001/XMLSchema" xmlns:xs="http://www.w3.org/2001/XMLSchema" xmlns:p="http://schemas.microsoft.com/office/2006/metadata/properties" xmlns:ns1="http://schemas.microsoft.com/sharepoint/v3" xmlns:ns3="b3ef7866-0ee9-4531-b5bd-595a79764e22" xmlns:ns4="9d2a1479-b62d-451f-8d2b-7a22d4ccd7bb" targetNamespace="http://schemas.microsoft.com/office/2006/metadata/properties" ma:root="true" ma:fieldsID="01670c8ca7df3a9ca4258623737118ed" ns1:_="" ns3:_="" ns4:_="">
    <xsd:import namespace="http://schemas.microsoft.com/sharepoint/v3"/>
    <xsd:import namespace="b3ef7866-0ee9-4531-b5bd-595a79764e22"/>
    <xsd:import namespace="9d2a1479-b62d-451f-8d2b-7a22d4ccd7b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ef7866-0ee9-4531-b5bd-595a79764e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2a1479-b62d-451f-8d2b-7a22d4ccd7b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b3ef7866-0ee9-4531-b5bd-595a79764e22" xsi:nil="true"/>
  </documentManagement>
</p:properties>
</file>

<file path=customXml/itemProps1.xml><?xml version="1.0" encoding="utf-8"?>
<ds:datastoreItem xmlns:ds="http://schemas.openxmlformats.org/officeDocument/2006/customXml" ds:itemID="{D2399DE4-0321-4D00-8D97-02AC5A47D7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3ef7866-0ee9-4531-b5bd-595a79764e22"/>
    <ds:schemaRef ds:uri="9d2a1479-b62d-451f-8d2b-7a22d4ccd7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8F9E48-8B43-414F-A978-8C5D2F6120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5A701A-32CE-4150-BF7B-36784D0D959C}">
  <ds:schemaRefs>
    <ds:schemaRef ds:uri="b3ef7866-0ee9-4531-b5bd-595a79764e22"/>
    <ds:schemaRef ds:uri="http://schemas.microsoft.com/office/2006/documentManagement/types"/>
    <ds:schemaRef ds:uri="9d2a1479-b62d-451f-8d2b-7a22d4ccd7bb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sharepoint/v3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Broad Based Historical Pricing</vt:lpstr>
      <vt:lpstr>Volatility &amp; Correlation</vt:lpstr>
      <vt:lpstr>Issuer Credit Quality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Beals</dc:creator>
  <cp:lastModifiedBy>Jack Mills</cp:lastModifiedBy>
  <dcterms:created xsi:type="dcterms:W3CDTF">2024-03-11T13:39:27Z</dcterms:created>
  <dcterms:modified xsi:type="dcterms:W3CDTF">2026-01-12T14:25:31Z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3cf15f-eddc-4d82-a251-6737036e475e_Enabled">
    <vt:lpwstr>true</vt:lpwstr>
  </property>
  <property fmtid="{D5CDD505-2E9C-101B-9397-08002B2CF9AE}" pid="3" name="MSIP_Label_b23cf15f-eddc-4d82-a251-6737036e475e_SetDate">
    <vt:lpwstr>2024-03-11T13:40:47Z</vt:lpwstr>
  </property>
  <property fmtid="{D5CDD505-2E9C-101B-9397-08002B2CF9AE}" pid="4" name="MSIP_Label_b23cf15f-eddc-4d82-a251-6737036e475e_Method">
    <vt:lpwstr>Standard</vt:lpwstr>
  </property>
  <property fmtid="{D5CDD505-2E9C-101B-9397-08002B2CF9AE}" pid="5" name="MSIP_Label_b23cf15f-eddc-4d82-a251-6737036e475e_Name">
    <vt:lpwstr>Unrestricted</vt:lpwstr>
  </property>
  <property fmtid="{D5CDD505-2E9C-101B-9397-08002B2CF9AE}" pid="6" name="MSIP_Label_b23cf15f-eddc-4d82-a251-6737036e475e_SiteId">
    <vt:lpwstr>c77ea6ac-eb43-4cae-b8ac-50d838c4a9a4</vt:lpwstr>
  </property>
  <property fmtid="{D5CDD505-2E9C-101B-9397-08002B2CF9AE}" pid="7" name="MSIP_Label_b23cf15f-eddc-4d82-a251-6737036e475e_ActionId">
    <vt:lpwstr>abacace1-5abd-4dc7-b81d-45f7b5b6907e</vt:lpwstr>
  </property>
  <property fmtid="{D5CDD505-2E9C-101B-9397-08002B2CF9AE}" pid="8" name="MSIP_Label_b23cf15f-eddc-4d82-a251-6737036e475e_ContentBits">
    <vt:lpwstr>0</vt:lpwstr>
  </property>
  <property fmtid="{D5CDD505-2E9C-101B-9397-08002B2CF9AE}" pid="9" name="ContentTypeId">
    <vt:lpwstr>0x010100E267ACBC45545747910271F30828E5EF</vt:lpwstr>
  </property>
</Properties>
</file>